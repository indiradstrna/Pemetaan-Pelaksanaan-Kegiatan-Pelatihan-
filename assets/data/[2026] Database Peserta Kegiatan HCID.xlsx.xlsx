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EA56FF4-6606-4716-AA68-C2F77970B9EE}" xr6:coauthVersionLast="47" xr6:coauthVersionMax="47" xr10:uidLastSave="{00000000-0000-0000-0000-000000000000}"/>
  <bookViews>
    <workbookView xWindow="-108" yWindow="-108" windowWidth="23256" windowHeight="12576" firstSheet="6" activeTab="8" xr2:uid="{00000000-000D-0000-FFFF-FFFF00000000}"/>
  </bookViews>
  <sheets>
    <sheet name="19-22 Mei SUF Semarang Jateng" sheetId="1" r:id="rId1"/>
    <sheet name="19-22 Mei SUF Balikpapan Kaltim" sheetId="2" r:id="rId2"/>
    <sheet name="23-26 Juni 2026 Pelatihan Kultu" sheetId="3" r:id="rId3"/>
    <sheet name="23 Juni 2026 Hybrid Webinar Kul" sheetId="4" r:id="rId4"/>
    <sheet name="29 Juni -2 Juli  SUF Manado, Su" sheetId="5" r:id="rId5"/>
    <sheet name="7-10 Juli 2026 SUF Bali" sheetId="6" r:id="rId6"/>
    <sheet name="29-31 Juli 2026 GEMS Rinjani" sheetId="7" r:id="rId7"/>
    <sheet name="11-14 Agustus 2026 GEMS Ciletuh" sheetId="8" r:id="rId8"/>
    <sheet name="22-25 September 2026 GEMS Bali" sheetId="9" r:id="rId9"/>
    <sheet name="Calc_Data" sheetId="10" state="hidden" r:id="rId10"/>
  </sheets>
  <definedNames>
    <definedName name="Z_79CB312A_EBB6_416E_9E38_5E5B8667A4DE_.wvu.FilterData" localSheetId="2" hidden="1">'23-26 Juni 2026 Pelatihan Kultu'!$A$1:$H$31</definedName>
    <definedName name="Z_7B52DE51_F7EB_4CC3_A86A_7AE5C7BCE609_.wvu.FilterData" localSheetId="8" hidden="1">'22-25 September 2026 GEMS Bali'!$A$1:$H$28</definedName>
    <definedName name="Z_CF798807_F6BF_423C_91BC_FD80E389EA82_.wvu.FilterData" localSheetId="4" hidden="1">'29 Juni -2 Juli  SUF Manado, Su'!$A$1:$F$18</definedName>
    <definedName name="Z_D79E30B9_536F_465A_A3B6_199ECA9A1D67_.wvu.FilterData" localSheetId="7" hidden="1">'11-14 Agustus 2026 GEMS Ciletuh'!$A$1:$H$34</definedName>
    <definedName name="Z_F24C4C7B_609A_4422_AD6C_505B21FC971E_.wvu.FilterData" localSheetId="5" hidden="1">'7-10 Juli 2026 SUF Bali'!$A$1:$H$25</definedName>
  </definedNames>
  <calcPr calcId="191029"/>
  <customWorkbookViews>
    <customWorkbookView name="Table6_2 filter view" guid="{7B52DE51-F7EB-4CC3-A86A-7AE5C7BCE609}" maximized="1" windowWidth="0" windowHeight="0" activeSheetId="0"/>
    <customWorkbookView name="Table1 filter view" guid="{79CB312A-EBB6-416E-9E38-5E5B8667A4DE}" maximized="1" windowWidth="0" windowHeight="0" activeSheetId="0"/>
    <customWorkbookView name="Table1_3 filter view" guid="{CF798807-F6BF-423C-91BC-FD80E389EA82}" maximized="1" windowWidth="0" windowHeight="0" activeSheetId="0"/>
    <customWorkbookView name="Table6 filter view" guid="{D79E30B9-536F-465A-A3B6-199ECA9A1D67}" maximized="1" windowWidth="0" windowHeight="0" activeSheetId="0"/>
    <customWorkbookView name="Table3 filter view" guid="{F24C4C7B-609A-4422-AD6C-505B21FC971E}" maximized="1" windowWidth="0" windowHeight="0" activeSheetId="0"/>
  </customWorkbookViews>
  <extLst>
    <ext uri="GoogleSheetsCustomDataVersion2">
      <go:sheetsCustomData xmlns:go="http://customooxmlschemas.google.com/" r:id="rId14" roundtripDataChecksum="i9MJ5Pw5t3DHifp0GKgrTIZciS31C+Ng3iWDmsUImww="/>
    </ext>
  </extLst>
</workbook>
</file>

<file path=xl/calcChain.xml><?xml version="1.0" encoding="utf-8"?>
<calcChain xmlns="http://schemas.openxmlformats.org/spreadsheetml/2006/main">
  <c r="C3" i="10" l="1"/>
  <c r="B3" i="10"/>
  <c r="D3" i="10" s="1"/>
  <c r="C2" i="10"/>
  <c r="B2" i="10"/>
  <c r="D2" i="10" s="1"/>
</calcChain>
</file>

<file path=xl/sharedStrings.xml><?xml version="1.0" encoding="utf-8"?>
<sst xmlns="http://schemas.openxmlformats.org/spreadsheetml/2006/main" count="3505" uniqueCount="2465">
  <si>
    <t>No.</t>
  </si>
  <si>
    <t xml:space="preserve">No. </t>
  </si>
  <si>
    <t>Nama</t>
  </si>
  <si>
    <t>Jenis Kelamin</t>
  </si>
  <si>
    <t>Institusi</t>
  </si>
  <si>
    <t>Sekolah</t>
  </si>
  <si>
    <t>E-mail</t>
  </si>
  <si>
    <t>Alamat Sekolah/Institusi</t>
  </si>
  <si>
    <t>Column 1</t>
  </si>
  <si>
    <t>Jenis Peserta</t>
  </si>
  <si>
    <t>Nomor Telepon/HP</t>
  </si>
  <si>
    <t>Nomor Telepon</t>
  </si>
  <si>
    <t>Program/Bidang Studi yang diajar</t>
  </si>
  <si>
    <t>X (Bujur)</t>
  </si>
  <si>
    <t>Latar Belakang Pendidikan (Contoh: S1 Pertanian)</t>
  </si>
  <si>
    <t>WhatsApp</t>
  </si>
  <si>
    <t>Y (Lintang)</t>
  </si>
  <si>
    <t>Email</t>
  </si>
  <si>
    <t>Y(Lintang)</t>
  </si>
  <si>
    <t>Veren Suryati Muluk</t>
  </si>
  <si>
    <t>Perempuan</t>
  </si>
  <si>
    <t>Yashinta Ayu Rachmayanti, S.Pd.</t>
  </si>
  <si>
    <t xml:space="preserve">SMP Katolik Santo Mikail Balikpapan </t>
  </si>
  <si>
    <t>Gina Aliya Sop, P., M.Si., Ph.D.</t>
  </si>
  <si>
    <t>verenamuluk19@guru.smp.belajar.id</t>
  </si>
  <si>
    <t>Rahmah Husna, S.Si.</t>
  </si>
  <si>
    <t>082253836918</t>
  </si>
  <si>
    <t>BRIN</t>
  </si>
  <si>
    <t>116.81969982431184</t>
  </si>
  <si>
    <t>ginasopha80@gmail.com</t>
  </si>
  <si>
    <t>SMAIT Nurul Fikri Kab. Bogor</t>
  </si>
  <si>
    <t>SMPN 31 SEMARANG</t>
  </si>
  <si>
    <t>-1.2767373920623908</t>
  </si>
  <si>
    <t>087825307302</t>
  </si>
  <si>
    <t>Guru</t>
  </si>
  <si>
    <t>106.84520147172154</t>
  </si>
  <si>
    <t>106.84188512743894</t>
  </si>
  <si>
    <t>-6.500545116722</t>
  </si>
  <si>
    <t>ILMU PENGETAHUAN ALAM</t>
  </si>
  <si>
    <t>-6.366632116828149</t>
  </si>
  <si>
    <t>S1 PENDIDIKAN KIMIA</t>
  </si>
  <si>
    <t>085741466626</t>
  </si>
  <si>
    <t>Rakhmad Hidayat</t>
  </si>
  <si>
    <t>yashintarachmayanti44@guru.smp.belajar.id</t>
  </si>
  <si>
    <t>Laki-laki</t>
  </si>
  <si>
    <t>110.36716472702446</t>
  </si>
  <si>
    <t>Hera Nurhayati</t>
  </si>
  <si>
    <t>-6.978401537613152</t>
  </si>
  <si>
    <t>SMP Patra Dharma 2 Balikpapan</t>
  </si>
  <si>
    <t>rakhmadhidayat18011978@gmail.com</t>
  </si>
  <si>
    <t>Ministry of Agriculture</t>
  </si>
  <si>
    <t>Ria Indria Purnamasari, S.Pd.</t>
  </si>
  <si>
    <t>085651309027</t>
  </si>
  <si>
    <t>heranurhayati74@gmail.com</t>
  </si>
  <si>
    <t xml:space="preserve"> 116.81642712807364</t>
  </si>
  <si>
    <t>SMAN 1 Rancabungur Kab. Bogor</t>
  </si>
  <si>
    <t>081213340445</t>
  </si>
  <si>
    <t>-1.2780977158858289</t>
  </si>
  <si>
    <t>106.82230159553335</t>
  </si>
  <si>
    <t>106.71663706903945</t>
  </si>
  <si>
    <t>Dr. Dian Marta Wijayanti, S.Pd., M.Pd.</t>
  </si>
  <si>
    <t>-6.2970432783113734</t>
  </si>
  <si>
    <t>-6.542573225907633</t>
  </si>
  <si>
    <t xml:space="preserve">Fadillah Tri Aulia </t>
  </si>
  <si>
    <t>SDN Patemon 02</t>
  </si>
  <si>
    <t>Dr. Salnida Yuniarti Lumbessy, S.Pi., M.Si.</t>
  </si>
  <si>
    <t xml:space="preserve">SMPN 3 Rancabali </t>
  </si>
  <si>
    <t>Ismi Senjayani, M. Pd.</t>
  </si>
  <si>
    <t>Program Studi Budidaya Perairan, Universitas Mataram</t>
  </si>
  <si>
    <t>masfadilatria@gmail.com</t>
  </si>
  <si>
    <t>salnidayuniarti@unram.ac.id</t>
  </si>
  <si>
    <t>082262331422</t>
  </si>
  <si>
    <t>SMAN 1 Cisarua Kab. Bogor</t>
  </si>
  <si>
    <t>082234935887</t>
  </si>
  <si>
    <t>107.274253750828</t>
  </si>
  <si>
    <t>Guru Kelas</t>
  </si>
  <si>
    <t xml:space="preserve"> 116.09346754224102</t>
  </si>
  <si>
    <t>-7.193926728035518</t>
  </si>
  <si>
    <t>-8.581770671387488</t>
  </si>
  <si>
    <t>S3 Manajemen Kependidikan</t>
  </si>
  <si>
    <t>081225183113</t>
  </si>
  <si>
    <t>106.9259593963798</t>
  </si>
  <si>
    <t>-6.665290142870624</t>
  </si>
  <si>
    <t>dianmartasemarang@gmail.com</t>
  </si>
  <si>
    <t>Ratna Mardiasih</t>
  </si>
  <si>
    <t>Yoshep Raja</t>
  </si>
  <si>
    <t>110.40248657145838</t>
  </si>
  <si>
    <t xml:space="preserve">IPB UNIVERSITY </t>
  </si>
  <si>
    <t>-7.067690404441146</t>
  </si>
  <si>
    <t>ratnamardiasih@gmail.com</t>
  </si>
  <si>
    <t>SMP Negeri 12 Balikpapan</t>
  </si>
  <si>
    <t>Sumiarti Taslim, S.Si, M.Pd.</t>
  </si>
  <si>
    <t>0895328180309</t>
  </si>
  <si>
    <t>yoshep.raja123@gmail.com</t>
  </si>
  <si>
    <t>106.7254918434475</t>
  </si>
  <si>
    <t>-6.560123575103383</t>
  </si>
  <si>
    <t>SMAN 1 Babakan Madang Kab. Bogor</t>
  </si>
  <si>
    <t>081350835411</t>
  </si>
  <si>
    <t xml:space="preserve"> 116.83176378868544</t>
  </si>
  <si>
    <t>Ni Kadek Desy Andya Dewi, S.P., M.P., M.Agr.</t>
  </si>
  <si>
    <r>
      <rPr>
        <sz val="10"/>
        <color rgb="FF434343"/>
        <rFont val="Roboto"/>
      </rPr>
      <t xml:space="preserve">Mega Ayu Rahmawati, </t>
    </r>
    <r>
      <rPr>
        <u/>
        <sz val="10"/>
        <color rgb="FF1155CC"/>
        <rFont val="Roboto"/>
      </rPr>
      <t>S.ST</t>
    </r>
    <r>
      <rPr>
        <sz val="10"/>
        <color rgb="FF434343"/>
        <rFont val="Roboto"/>
      </rPr>
      <t>.</t>
    </r>
  </si>
  <si>
    <t>-1.2721733225588174</t>
  </si>
  <si>
    <t>Universitas Warmadewa</t>
  </si>
  <si>
    <t>106.86543035806109</t>
  </si>
  <si>
    <t>desyandya@warmadewa.ac.id</t>
  </si>
  <si>
    <t>-6.570083625066825</t>
  </si>
  <si>
    <t>0881037550205</t>
  </si>
  <si>
    <t>115.24246941901418</t>
  </si>
  <si>
    <t>Rohmi Hasanah, S. Pd</t>
  </si>
  <si>
    <t>-8.659204744056332</t>
  </si>
  <si>
    <t>SMP Negeri 5 Balikpapan</t>
  </si>
  <si>
    <t>Ety Ali, S.Pd., M.Pd.</t>
  </si>
  <si>
    <t>rohmismp5@gmail.com</t>
  </si>
  <si>
    <t>Novia Tasik Ma'dika</t>
  </si>
  <si>
    <t>SMK Negeri 1 Bawen</t>
  </si>
  <si>
    <t>081346336826</t>
  </si>
  <si>
    <t xml:space="preserve"> 116.90957485253749</t>
  </si>
  <si>
    <t>noviatasikmadika@gmail.con</t>
  </si>
  <si>
    <t>SMAN 1 Ciseeng Kab. Bogor</t>
  </si>
  <si>
    <t>-1.2600615366540984</t>
  </si>
  <si>
    <t>082244133816</t>
  </si>
  <si>
    <t>Pertanian</t>
  </si>
  <si>
    <t>D4 TEKNOLOGI PRODUKSI TANAMAN PANGAN</t>
  </si>
  <si>
    <t>106.66504274023363</t>
  </si>
  <si>
    <t>082234194983</t>
  </si>
  <si>
    <t>megarahmawati103@gmail.com</t>
  </si>
  <si>
    <t>-6.458083563545177</t>
  </si>
  <si>
    <t>Umi Nafiah</t>
  </si>
  <si>
    <t>110.42015179440018</t>
  </si>
  <si>
    <t>-7.24501934503467</t>
  </si>
  <si>
    <t>SDIT Al Auliya 2</t>
  </si>
  <si>
    <t>Dr. R. Sinta Dewi Sekarwati, M.T</t>
  </si>
  <si>
    <t>uminafiah127@gmail.com</t>
  </si>
  <si>
    <t>Fauziah Asri Latifah, S.Si, M.Pd.</t>
  </si>
  <si>
    <t>085652406434</t>
  </si>
  <si>
    <t>SMAN 7 Kota Depok</t>
  </si>
  <si>
    <t>116.86349550384044</t>
  </si>
  <si>
    <t>SMA N 13 Semarang</t>
  </si>
  <si>
    <t>-1.2195078875772405</t>
  </si>
  <si>
    <t>Kanti Dewi Rizgiani, S.Hut., M.Sc.</t>
  </si>
  <si>
    <t>106.910158865728</t>
  </si>
  <si>
    <t>Biologi</t>
  </si>
  <si>
    <t>kantidr.brin08@gmail.com</t>
  </si>
  <si>
    <t>-6.397361464205907</t>
  </si>
  <si>
    <t xml:space="preserve">Renny Ayu Ekawati </t>
  </si>
  <si>
    <t>S1 Biologi, S2 Managemen Pendidikan</t>
  </si>
  <si>
    <t>08567239569</t>
  </si>
  <si>
    <t>08122606797</t>
  </si>
  <si>
    <t xml:space="preserve">SD Negeri 004 Balikpapan Kota </t>
  </si>
  <si>
    <t>asrifauziah84@gmail.com</t>
  </si>
  <si>
    <t>rennyekawati11@guru.sd.belajar.id</t>
  </si>
  <si>
    <t>110.31158514133863</t>
  </si>
  <si>
    <t>-7.0497084906700325</t>
  </si>
  <si>
    <t>085247834868</t>
  </si>
  <si>
    <t>116.83391107876166</t>
  </si>
  <si>
    <t xml:space="preserve">Ani Amimah, S.Pd. </t>
  </si>
  <si>
    <t>-1.2751598849574988</t>
  </si>
  <si>
    <t>Vandra Kurniawan, M.Si.</t>
  </si>
  <si>
    <t xml:space="preserve">SMP Negeri 12 Semarang </t>
  </si>
  <si>
    <t>vandra.kurniawan@gmail.com</t>
  </si>
  <si>
    <t xml:space="preserve">Teguh Reza Syaefazri, M.Pd
</t>
  </si>
  <si>
    <t>Nurlaila</t>
  </si>
  <si>
    <t>085274129327</t>
  </si>
  <si>
    <t>Matematika</t>
  </si>
  <si>
    <t>SMAN 12 Kota Depok</t>
  </si>
  <si>
    <t>SD Negeri 024 Balikpapan Tengah</t>
  </si>
  <si>
    <t>S1 Pendidikan Matematika</t>
  </si>
  <si>
    <t>elaraffa23@gmail.com</t>
  </si>
  <si>
    <t>082224198338</t>
  </si>
  <si>
    <t>106.79623975259125</t>
  </si>
  <si>
    <t>081253188851</t>
  </si>
  <si>
    <t xml:space="preserve"> 116.84145507906022</t>
  </si>
  <si>
    <t>-6.434294827910561</t>
  </si>
  <si>
    <t>Eman Hermawan, S.E., M.Hum.</t>
  </si>
  <si>
    <t>aniamimah3@gmail.com</t>
  </si>
  <si>
    <t>-1.2531162446380415</t>
  </si>
  <si>
    <t>110.41735820162442</t>
  </si>
  <si>
    <t>-7.062955653009183</t>
  </si>
  <si>
    <t>UGM</t>
  </si>
  <si>
    <t>emanhermawan@mail.ugm.ac.id</t>
  </si>
  <si>
    <t>081283612547</t>
  </si>
  <si>
    <t>Muhammad Taufiq Fahrurozi, S.T.P., M.P.</t>
  </si>
  <si>
    <t>110.37788045889982</t>
  </si>
  <si>
    <t xml:space="preserve">Rakhmat Fauzi, M.Si </t>
  </si>
  <si>
    <t>-7.7708062318846425</t>
  </si>
  <si>
    <t>Bambang Dwi Yusanto, S.Pd</t>
  </si>
  <si>
    <t>SMAN 1 Kota Depok</t>
  </si>
  <si>
    <t>SMK N H. Moenadi Ungaran</t>
  </si>
  <si>
    <t>SD Negeri 013 Balikpapan Timur</t>
  </si>
  <si>
    <t xml:space="preserve"> 106.81446136876255</t>
  </si>
  <si>
    <t>bambangdwiyusanto1275@gmail.com</t>
  </si>
  <si>
    <t>-6.395201400790642</t>
  </si>
  <si>
    <t>Aida wulansari</t>
  </si>
  <si>
    <t>081522505349</t>
  </si>
  <si>
    <t>Teknik Pertanian</t>
  </si>
  <si>
    <t>116.83584141466699</t>
  </si>
  <si>
    <t>08170413536</t>
  </si>
  <si>
    <t>aida001@brin.go.id</t>
  </si>
  <si>
    <t>-1.260692659623351</t>
  </si>
  <si>
    <t>mtaufiqfahrurozi@gmail.com</t>
  </si>
  <si>
    <t>Nur Apriyanti Setianingsih, S.Pd</t>
  </si>
  <si>
    <t>081519479512</t>
  </si>
  <si>
    <t>110.41393307596694</t>
  </si>
  <si>
    <t>-7.111739733790105</t>
  </si>
  <si>
    <t>Larasati Avemaria Putri</t>
  </si>
  <si>
    <t>SMA BUDI BHAKTI DEPOK</t>
  </si>
  <si>
    <t>Rizky Saputra, S.S.T.</t>
  </si>
  <si>
    <t xml:space="preserve">SD Negeri 017 Balikpapan Barat </t>
  </si>
  <si>
    <t>106.83398529478208</t>
  </si>
  <si>
    <t>larasmaria25@gmail.com</t>
  </si>
  <si>
    <t>-6.400435379471596</t>
  </si>
  <si>
    <t>087743117307</t>
  </si>
  <si>
    <t>SMKN 3 Salatiga</t>
  </si>
  <si>
    <t>Nurul Fadhilah</t>
  </si>
  <si>
    <t>116.81671443209532</t>
  </si>
  <si>
    <t>-1.2252921753827157</t>
  </si>
  <si>
    <t>Syiah Kuala University</t>
  </si>
  <si>
    <t>fadhilahnurul704@gmail.com</t>
  </si>
  <si>
    <t>S1 Pertanian</t>
  </si>
  <si>
    <t>081396740512</t>
  </si>
  <si>
    <t>Desy Sasana</t>
  </si>
  <si>
    <t>Basilius Beo</t>
  </si>
  <si>
    <t>95.36971352776034</t>
  </si>
  <si>
    <t>085161506397</t>
  </si>
  <si>
    <t>5.570113342332743</t>
  </si>
  <si>
    <t>SMAN 9 Kota Bogor</t>
  </si>
  <si>
    <t>aashi_sensei@ymail.com</t>
  </si>
  <si>
    <t xml:space="preserve"> </t>
  </si>
  <si>
    <t>SD Negeri 004 Balikpapan Kota</t>
  </si>
  <si>
    <t>110.51934584395684</t>
  </si>
  <si>
    <t>-7.345502296466462</t>
  </si>
  <si>
    <t>basiliusbeo@gmail.com</t>
  </si>
  <si>
    <t>106.76519753248603</t>
  </si>
  <si>
    <t>0895382396050</t>
  </si>
  <si>
    <t>-6.559709972805263</t>
  </si>
  <si>
    <r>
      <rPr>
        <sz val="10"/>
        <rFont val="Times New Roman"/>
      </rPr>
      <t xml:space="preserve">Putu Elena Prema Gayatri, </t>
    </r>
    <r>
      <rPr>
        <u/>
        <sz val="10"/>
        <color rgb="FF1155CC"/>
        <rFont val="Times New Roman"/>
      </rPr>
      <t>S.Si</t>
    </r>
    <r>
      <rPr>
        <sz val="10"/>
        <rFont val="Times New Roman"/>
      </rPr>
      <t>.</t>
    </r>
  </si>
  <si>
    <t>Dwi Setyowati, S.Pd., M.M.</t>
  </si>
  <si>
    <t>Megawati, S.Pd.</t>
  </si>
  <si>
    <t>Chandra Ayu Mahdalena, S.Pd., M.M</t>
  </si>
  <si>
    <t>SMK Negeri 1 Leuwiliang Kab. Bogor</t>
  </si>
  <si>
    <t xml:space="preserve">SDN KARANGREJO 02 </t>
  </si>
  <si>
    <t>SD Negeri 001 Balikpapan Utara</t>
  </si>
  <si>
    <t>Universitas Udayana</t>
  </si>
  <si>
    <t>106.62882380299195</t>
  </si>
  <si>
    <t>chandraayumahdalena20@gmail.com</t>
  </si>
  <si>
    <t>prema.gayatri@unud.ac.id</t>
  </si>
  <si>
    <t>-6.590892053050839</t>
  </si>
  <si>
    <t>Kepala Sekolah</t>
  </si>
  <si>
    <t>087847697863</t>
  </si>
  <si>
    <t>082341136805</t>
  </si>
  <si>
    <t>116.84303117165238</t>
  </si>
  <si>
    <t>115.17227306429857</t>
  </si>
  <si>
    <t>-1.2344801424942484</t>
  </si>
  <si>
    <t>-8.798401003406209</t>
  </si>
  <si>
    <t>S2 Magister Managemen</t>
  </si>
  <si>
    <t>085640441076</t>
  </si>
  <si>
    <t>Muhamad Fajar Pratama</t>
  </si>
  <si>
    <t>dwisetyowati301@gmail.com</t>
  </si>
  <si>
    <t>Nurayla Arnas Nasution, S.E.</t>
  </si>
  <si>
    <t>110.41757888517498</t>
  </si>
  <si>
    <t>-7.024183896278435</t>
  </si>
  <si>
    <t>SMP Negeri 3 Balikpapan</t>
  </si>
  <si>
    <t>muhamadfajarpratama42@gmail.com</t>
  </si>
  <si>
    <t>Seloka Mayang Ratu Bhuana</t>
  </si>
  <si>
    <t>SMAN 3 Kota Bogor</t>
  </si>
  <si>
    <t>083845513404</t>
  </si>
  <si>
    <t xml:space="preserve">Universitas Negeri Malang </t>
  </si>
  <si>
    <t>116.8412737608879</t>
  </si>
  <si>
    <t>106.81099971598479</t>
  </si>
  <si>
    <t>Tony Norcahyo, S.Pd.</t>
  </si>
  <si>
    <t>mayangseloka@gmail.com</t>
  </si>
  <si>
    <t>-1.2341647880968987</t>
  </si>
  <si>
    <t>-6.607322196931771</t>
  </si>
  <si>
    <t>087770526919</t>
  </si>
  <si>
    <t xml:space="preserve">SMKN 8 Semarang </t>
  </si>
  <si>
    <t>112.61857411041794</t>
  </si>
  <si>
    <t>-7.960383281763738</t>
  </si>
  <si>
    <t>Ahda Dwi Hastuti, S.Pd., M.Sc.</t>
  </si>
  <si>
    <t>Sekolah Nasional KPS</t>
  </si>
  <si>
    <t xml:space="preserve">Ahmad Mujidin, S.Pd </t>
  </si>
  <si>
    <t>ahda@kps.sch.id</t>
  </si>
  <si>
    <t>S1 Pendidikan Biologi</t>
  </si>
  <si>
    <t>085866553684</t>
  </si>
  <si>
    <t>Nadya Pontoh</t>
  </si>
  <si>
    <t>089680621081</t>
  </si>
  <si>
    <t>SMAN 1 Kota Bandung</t>
  </si>
  <si>
    <t>116.81574040147787</t>
  </si>
  <si>
    <t>tonynorcahyo@gmail.com</t>
  </si>
  <si>
    <t xml:space="preserve">Universitas Padjadjaran </t>
  </si>
  <si>
    <t>-1.2783296715126395</t>
  </si>
  <si>
    <t>110.42000964763967</t>
  </si>
  <si>
    <t>-6.989647854005561</t>
  </si>
  <si>
    <t>nadyapontoh20@gmail.com</t>
  </si>
  <si>
    <t>107.61263279828202</t>
  </si>
  <si>
    <t>-6.89526422576916</t>
  </si>
  <si>
    <t>08112332686</t>
  </si>
  <si>
    <t>107.77462740840578</t>
  </si>
  <si>
    <t>Mega Riyana, S.Pd.</t>
  </si>
  <si>
    <t>-6.926199481265234</t>
  </si>
  <si>
    <t>Meryati Purba, S.Pd</t>
  </si>
  <si>
    <t>Rachman Teguh Sukma Julio, S.Pd.Gr</t>
  </si>
  <si>
    <t>SMAN 1 MRANGGEN</t>
  </si>
  <si>
    <t>SMAK 2 BPK Penabur Bandung</t>
  </si>
  <si>
    <t>Marten Memet, S.E., M.Pd.</t>
  </si>
  <si>
    <t>SMA Muhammadiyah 23 Jakarta</t>
  </si>
  <si>
    <t xml:space="preserve"> 107.59654734711873</t>
  </si>
  <si>
    <t>rachmanjulio94@gmail.com</t>
  </si>
  <si>
    <t>SMK Negeri 7 Merauke</t>
  </si>
  <si>
    <t>Geografi</t>
  </si>
  <si>
    <t>-6.903794564212417</t>
  </si>
  <si>
    <t>martenmemet589@gmail.com</t>
  </si>
  <si>
    <t>S.Pd</t>
  </si>
  <si>
    <t>081281875994</t>
  </si>
  <si>
    <t>085799880747</t>
  </si>
  <si>
    <t>106.92919492701623</t>
  </si>
  <si>
    <t>082199227088</t>
  </si>
  <si>
    <t>140.76469731336684</t>
  </si>
  <si>
    <t>emailemega@gmail.com</t>
  </si>
  <si>
    <t>-6.219175248884335</t>
  </si>
  <si>
    <t>-8.06655750123274</t>
  </si>
  <si>
    <t>110.51415664764205</t>
  </si>
  <si>
    <t xml:space="preserve">Rita Winata Sidabuta, S.Si </t>
  </si>
  <si>
    <t>-7.006344265620022</t>
  </si>
  <si>
    <t>SMA Advent Cimindi</t>
  </si>
  <si>
    <t>Nor Zaqi Habibi, S.Kom.</t>
  </si>
  <si>
    <t>Kun Purwani SR, S.Pd., M.M.</t>
  </si>
  <si>
    <t>107.56389888139141</t>
  </si>
  <si>
    <t>Agustina Fitri Mayasari, S.P.</t>
  </si>
  <si>
    <t>-6.90135696602978</t>
  </si>
  <si>
    <t>SMA Negeri 9 Balikpapan</t>
  </si>
  <si>
    <t xml:space="preserve">SMK Negeri 1 Pacet </t>
  </si>
  <si>
    <t>zaqi2984@gmail.com</t>
  </si>
  <si>
    <t>SMP 16 Semarang</t>
  </si>
  <si>
    <t>agustinamayasari995@gmail.com</t>
  </si>
  <si>
    <t>08115442984</t>
  </si>
  <si>
    <t>081319467171</t>
  </si>
  <si>
    <t>116.87624008986484</t>
  </si>
  <si>
    <t>107.06618636948318</t>
  </si>
  <si>
    <t>-1.1448606769305807</t>
  </si>
  <si>
    <t>Bahasa Indonesia</t>
  </si>
  <si>
    <t>-6.723922825530716</t>
  </si>
  <si>
    <t xml:space="preserve">Selvi Martinda Sari </t>
  </si>
  <si>
    <t>S1 Bahasa Indonesia, S2 Manajemen</t>
  </si>
  <si>
    <t>085726746172</t>
  </si>
  <si>
    <t>SMKN 1 Bandung</t>
  </si>
  <si>
    <t>Gufran, S.Pd</t>
  </si>
  <si>
    <t>kunpurwani29@gmail.com</t>
  </si>
  <si>
    <t>110.34032496298344</t>
  </si>
  <si>
    <t>Aura Aulia Fajri</t>
  </si>
  <si>
    <t>-7.002100688685231</t>
  </si>
  <si>
    <t>107.60889818125398</t>
  </si>
  <si>
    <t xml:space="preserve">SMA NEGERI 5 BALIKPAPAN </t>
  </si>
  <si>
    <t>-6.913155004721518</t>
  </si>
  <si>
    <t>gufranahmad882@gmail.com</t>
  </si>
  <si>
    <t>auraaaulia00fajri@gmail.com</t>
  </si>
  <si>
    <t>085333264773</t>
  </si>
  <si>
    <t>116.8973613371587</t>
  </si>
  <si>
    <t>082288021239</t>
  </si>
  <si>
    <t>Agust Winarno, S.Pd.</t>
  </si>
  <si>
    <t>-1.2422522119684847</t>
  </si>
  <si>
    <t>Tina Martina, M.Pd</t>
  </si>
  <si>
    <t>SMP Negeri 1 Semarang</t>
  </si>
  <si>
    <t>SMAN 1 Cimahi</t>
  </si>
  <si>
    <t>Ikka Desy Fatmawaty</t>
  </si>
  <si>
    <t>107.54345558531305</t>
  </si>
  <si>
    <t>Zulfa Az Zahroh, S.P., M.Sc.</t>
  </si>
  <si>
    <t>-6.871033386549101</t>
  </si>
  <si>
    <t>IPA</t>
  </si>
  <si>
    <t xml:space="preserve">Jenderal Soedirman University </t>
  </si>
  <si>
    <t>Zulfa.zahroh@unsoed.ac.id</t>
  </si>
  <si>
    <t>SMAN 7 Balikpapan</t>
  </si>
  <si>
    <t>08122774891q</t>
  </si>
  <si>
    <t>ikkafatmawaty321@guru.sma.belajar.id</t>
  </si>
  <si>
    <t>081575162335</t>
  </si>
  <si>
    <t>Dani Herdiana. S.Pd</t>
  </si>
  <si>
    <t>081345068318</t>
  </si>
  <si>
    <t>agustwinarno28@guru.smp.belajar.id</t>
  </si>
  <si>
    <t>109.24631371290297</t>
  </si>
  <si>
    <t xml:space="preserve"> 116.97907049155927</t>
  </si>
  <si>
    <t>SMAN 3 Cimahi</t>
  </si>
  <si>
    <t>-7.404032648052062</t>
  </si>
  <si>
    <t>110.38868230291011</t>
  </si>
  <si>
    <t>-1.1993189360095995</t>
  </si>
  <si>
    <t>107.55982535296586</t>
  </si>
  <si>
    <t>-6.873896733226162</t>
  </si>
  <si>
    <t>-6.980720776514788</t>
  </si>
  <si>
    <t>Rezky Ayu Lestari</t>
  </si>
  <si>
    <t>Ayunda Azalea Arham</t>
  </si>
  <si>
    <t>Balai Perikanan Budidaya Laut Ambon</t>
  </si>
  <si>
    <t>rezkylestari84@gmail.com</t>
  </si>
  <si>
    <t>SMA Negeri 2 Balikpapan</t>
  </si>
  <si>
    <t xml:space="preserve">Yulistiawan Eka Mahendra </t>
  </si>
  <si>
    <t>ayundaazalea@gmail.com</t>
  </si>
  <si>
    <t>081251670424</t>
  </si>
  <si>
    <t>Entin Kustini, S.Pd</t>
  </si>
  <si>
    <t>0895605847218</t>
  </si>
  <si>
    <t>128.21486797702528</t>
  </si>
  <si>
    <t>-3.6313716767297284</t>
  </si>
  <si>
    <t>116.84316721163226</t>
  </si>
  <si>
    <t xml:space="preserve">SMP Negeri 39 Semarang </t>
  </si>
  <si>
    <t>SMAN 6 Cimahi</t>
  </si>
  <si>
    <t>-1.2327749130072552</t>
  </si>
  <si>
    <t>107.5628419772024</t>
  </si>
  <si>
    <t xml:space="preserve">Olahraga </t>
  </si>
  <si>
    <t>-6.924210848129836</t>
  </si>
  <si>
    <t>Yushi Mardiana, S.P., M.Si.</t>
  </si>
  <si>
    <t xml:space="preserve">S1 Pendidikan Jasmani Kesehatan dan rekreasi </t>
  </si>
  <si>
    <t>Mantasiah</t>
  </si>
  <si>
    <t>Agriculture Faculty, Universitas Islam Kadiri</t>
  </si>
  <si>
    <t>083829382529</t>
  </si>
  <si>
    <t>yushimardiana@uniska-kediri.ac.id</t>
  </si>
  <si>
    <t>SDIT As'Adiyah Manuntung</t>
  </si>
  <si>
    <t>yulishendra68@gmail.com</t>
  </si>
  <si>
    <t>081515601373</t>
  </si>
  <si>
    <t>imamsultan07@gmail.com</t>
  </si>
  <si>
    <t>110.43651642033464</t>
  </si>
  <si>
    <t>Andra Darmawan, S.Pd</t>
  </si>
  <si>
    <t>-7.0035254859962395</t>
  </si>
  <si>
    <t>112.00553687547068</t>
  </si>
  <si>
    <t>081350357123</t>
  </si>
  <si>
    <t>-7.845301537975713</t>
  </si>
  <si>
    <t>SMAN 4 CIMAHI</t>
  </si>
  <si>
    <t>116.82482618820755</t>
  </si>
  <si>
    <t>-1.2371674672679271</t>
  </si>
  <si>
    <t>Viki Ramadhan</t>
  </si>
  <si>
    <t>107.52223598045502</t>
  </si>
  <si>
    <t>-6.902457846192882</t>
  </si>
  <si>
    <t>Halida Nurani, S.Si.</t>
  </si>
  <si>
    <t>SDN Petompon 01</t>
  </si>
  <si>
    <t>YEREMIAS ANJANG, S.Pd.</t>
  </si>
  <si>
    <t>Pakuan University</t>
  </si>
  <si>
    <t>halida.nurani07@gmail.com</t>
  </si>
  <si>
    <t>SD NEGERI 011 BALIKPAPAN KOTA</t>
  </si>
  <si>
    <t>085888477002</t>
  </si>
  <si>
    <t xml:space="preserve">Enung Yusi Suswanti Kusumah </t>
  </si>
  <si>
    <t>PJOK</t>
  </si>
  <si>
    <t>106.81150001514492</t>
  </si>
  <si>
    <t>sdn011balkot@gmail.com</t>
  </si>
  <si>
    <t>-6.599434020146101</t>
  </si>
  <si>
    <t>MAN 5 Bogor</t>
  </si>
  <si>
    <t>S1 Pendidikan Jasmani Kesehatan &amp; Rekreasi</t>
  </si>
  <si>
    <t>081258702756</t>
  </si>
  <si>
    <t>081216962704</t>
  </si>
  <si>
    <t>116.85180767486042</t>
  </si>
  <si>
    <t>106.56002644846497</t>
  </si>
  <si>
    <t>vikiramadhanppg@gmail.com</t>
  </si>
  <si>
    <t>-1.272313726134077</t>
  </si>
  <si>
    <t>-6.344899556157639</t>
  </si>
  <si>
    <t>110.4024264606758</t>
  </si>
  <si>
    <t>Trishtan Jay Mercado</t>
  </si>
  <si>
    <t>-6.996237378434638,</t>
  </si>
  <si>
    <t>Mary Mediatrix of All Graces Academy Inc.</t>
  </si>
  <si>
    <t>trishtantamayomercado@gmail.com</t>
  </si>
  <si>
    <t>Fitri Mulyani</t>
  </si>
  <si>
    <t>Nanik Budhi Arti</t>
  </si>
  <si>
    <t>ARUM NITI BHATARI</t>
  </si>
  <si>
    <t>09913446619</t>
  </si>
  <si>
    <t>SMP Negeri 14 Balikpapan</t>
  </si>
  <si>
    <t>125.33530644258762</t>
  </si>
  <si>
    <t>SMKN 1 Tulungagung</t>
  </si>
  <si>
    <t>SMP Negeri 33 Semarang</t>
  </si>
  <si>
    <t>fitrimulyani36@guru.smp.belajar.id</t>
  </si>
  <si>
    <t>6.741895713184632</t>
  </si>
  <si>
    <t>085246000854</t>
  </si>
  <si>
    <t>111.89657936597301</t>
  </si>
  <si>
    <t xml:space="preserve"> 116.88827411913535</t>
  </si>
  <si>
    <t>-8.102846835368107</t>
  </si>
  <si>
    <t>Pegawai Pemerintah</t>
  </si>
  <si>
    <t>-1.244684324967764</t>
  </si>
  <si>
    <t>Muhammad Aslam Bin Diris</t>
  </si>
  <si>
    <t>Tenaga Kependidikan</t>
  </si>
  <si>
    <t xml:space="preserve">S1 Manajemen </t>
  </si>
  <si>
    <t>Universiti Brunei Darussalam</t>
  </si>
  <si>
    <t xml:space="preserve">Desyie Gittapurnama </t>
  </si>
  <si>
    <t>SRI NURLIANTI</t>
  </si>
  <si>
    <t>081215519099</t>
  </si>
  <si>
    <t>25m8124@ubd.edu.bn</t>
  </si>
  <si>
    <t>SMPN 14 Balikpapan</t>
  </si>
  <si>
    <t>tigatigasmp@gmail.com</t>
  </si>
  <si>
    <t xml:space="preserve">desyieramidi@gmail.com </t>
  </si>
  <si>
    <t>SMK Negeri 1 MAJA</t>
  </si>
  <si>
    <t>+673 7287419</t>
  </si>
  <si>
    <t>110.46357808545899</t>
  </si>
  <si>
    <t>0811536118</t>
  </si>
  <si>
    <t>-7.045984065080261</t>
  </si>
  <si>
    <t>114.89494711218735</t>
  </si>
  <si>
    <t>4.975501528563754</t>
  </si>
  <si>
    <t>108.2493221947884</t>
  </si>
  <si>
    <t>-6.8250897931617684</t>
  </si>
  <si>
    <t>Widadirahman, S.Pd.</t>
  </si>
  <si>
    <t>SITI AISAH</t>
  </si>
  <si>
    <t>Nur Annisa Wijayanti</t>
  </si>
  <si>
    <t xml:space="preserve">SD NEGERI 017 BALIKPAPAN BARAT </t>
  </si>
  <si>
    <t xml:space="preserve">SMA Negeri 1 Limbangan </t>
  </si>
  <si>
    <t>aisyahbpp067@gmail.com</t>
  </si>
  <si>
    <t>Mirza Marditasari, S.P., M.Tr.P., Gr.</t>
  </si>
  <si>
    <t xml:space="preserve">Nusa Bangsa University </t>
  </si>
  <si>
    <t>08115904141</t>
  </si>
  <si>
    <t>annisawijaya284@gmail.com</t>
  </si>
  <si>
    <t xml:space="preserve"> 116.81671388300575</t>
  </si>
  <si>
    <t>SMK Negeri 1 Bukal</t>
  </si>
  <si>
    <t>-1.2252842614696635</t>
  </si>
  <si>
    <t>087892026665</t>
  </si>
  <si>
    <t>121.45152193889973</t>
  </si>
  <si>
    <t>106.77634228157818</t>
  </si>
  <si>
    <t>0.9893716900671085</t>
  </si>
  <si>
    <t xml:space="preserve">Dwi Patmawati </t>
  </si>
  <si>
    <t>-6.552467641164923</t>
  </si>
  <si>
    <t>085641140444</t>
  </si>
  <si>
    <t xml:space="preserve">SMP NEGERI 12 BALIKPAPAN </t>
  </si>
  <si>
    <t>widadirahmanguru@gmail.com</t>
  </si>
  <si>
    <t>dwipatmawati08@gmail.com</t>
  </si>
  <si>
    <t>110.28532349274445</t>
  </si>
  <si>
    <t>081346520206</t>
  </si>
  <si>
    <t>-7.146191688329884</t>
  </si>
  <si>
    <t>116.83181237615025</t>
  </si>
  <si>
    <t>Lela Yusmiati</t>
  </si>
  <si>
    <t>-1.2721550589599084</t>
  </si>
  <si>
    <t>Ika Ambar Sari</t>
  </si>
  <si>
    <t>SMK NEGERI 1 PACET</t>
  </si>
  <si>
    <t>Muhammad Nur Arifanto</t>
  </si>
  <si>
    <t>ikaas243@gmail.com</t>
  </si>
  <si>
    <t>107.06628539478695</t>
  </si>
  <si>
    <r>
      <rPr>
        <sz val="10"/>
        <color rgb="FF434343"/>
        <rFont val="Roboto"/>
      </rPr>
      <t xml:space="preserve">Ririn Dewanti, </t>
    </r>
    <r>
      <rPr>
        <u/>
        <sz val="10"/>
        <color rgb="FF1155CC"/>
        <rFont val="Roboto"/>
      </rPr>
      <t>S.Pd.</t>
    </r>
  </si>
  <si>
    <t>SMKN 2 Balikpapan</t>
  </si>
  <si>
    <t>-6.724006303340419</t>
  </si>
  <si>
    <t>085854684430</t>
  </si>
  <si>
    <t>m.nurarifanto@gmail.com</t>
  </si>
  <si>
    <t>085753311526</t>
  </si>
  <si>
    <t>116.84427471375771</t>
  </si>
  <si>
    <t>-1.2341614400534824</t>
  </si>
  <si>
    <t>Desy Suma Widya Iswara,S.P</t>
  </si>
  <si>
    <t xml:space="preserve">Ernawati </t>
  </si>
  <si>
    <t xml:space="preserve">SMKN 2 PACET </t>
  </si>
  <si>
    <t>Irfan Abdul Fatah, S.Pd.</t>
  </si>
  <si>
    <t xml:space="preserve">SD Negeri 001 Balikpapan Utara </t>
  </si>
  <si>
    <t>SDN Gajahmungkur 01</t>
  </si>
  <si>
    <t>ernawati4121@guru.sd.belajar.id</t>
  </si>
  <si>
    <t>Muhammadiyah University of Purwokerto</t>
  </si>
  <si>
    <t>107.02799389478729</t>
  </si>
  <si>
    <t>081253377983</t>
  </si>
  <si>
    <t>irfanabdulfatah071@gmail.com</t>
  </si>
  <si>
    <t>-6.75025600216136</t>
  </si>
  <si>
    <t xml:space="preserve"> 116.84303341363339</t>
  </si>
  <si>
    <t>083863866106</t>
  </si>
  <si>
    <t>-1.2344815487227494</t>
  </si>
  <si>
    <t>Semua mapel SD</t>
  </si>
  <si>
    <t>109.27182714504877</t>
  </si>
  <si>
    <t>-7.412372718691278</t>
  </si>
  <si>
    <t>S1 PGSD</t>
  </si>
  <si>
    <t>Gusti yulianitha</t>
  </si>
  <si>
    <t>Iqbal Moh Taufik,S. ST</t>
  </si>
  <si>
    <t>085712261172</t>
  </si>
  <si>
    <t>rieriendewantie@gmail.com</t>
  </si>
  <si>
    <t>Smkn 1 Balikpapan</t>
  </si>
  <si>
    <t>SMKN 2 Cilaku</t>
  </si>
  <si>
    <t>gusti.yulianitha@smkn1-bpn.sch.id</t>
  </si>
  <si>
    <t>085246142280</t>
  </si>
  <si>
    <t>110.41002279023363</t>
  </si>
  <si>
    <t>Yuli Yulinawati, SP.</t>
  </si>
  <si>
    <t>-7.011554346413176</t>
  </si>
  <si>
    <t>116.90933534275305</t>
  </si>
  <si>
    <t>107.13436271294434</t>
  </si>
  <si>
    <t>-1.2587801170005801</t>
  </si>
  <si>
    <t>-6.849681736746299</t>
  </si>
  <si>
    <t xml:space="preserve">Balai Besar Pelatihan Pertanian Lembang </t>
  </si>
  <si>
    <t>yuliyulinawati715@gmail.com</t>
  </si>
  <si>
    <t>Rina Fatma Ningrum, S.Pd.</t>
  </si>
  <si>
    <t>08122377983</t>
  </si>
  <si>
    <t>Masitah, S.Pd</t>
  </si>
  <si>
    <t>107.63305701734421</t>
  </si>
  <si>
    <t xml:space="preserve">SLB NEGERI UNGARAN </t>
  </si>
  <si>
    <t>-6.822755299352673</t>
  </si>
  <si>
    <t xml:space="preserve">Yanti Siti Nuryanti Sugiharti </t>
  </si>
  <si>
    <t xml:space="preserve">SMAN 1 Gunung Halu </t>
  </si>
  <si>
    <t>Bahasa Inggris</t>
  </si>
  <si>
    <t>SMKN 3 Balikpapan</t>
  </si>
  <si>
    <t>Muhammad Ihsan, S.Pd., M.Si.</t>
  </si>
  <si>
    <t>S1 Kependidikan Bahasa Inggris</t>
  </si>
  <si>
    <t>sitah82bulau@gmail.com</t>
  </si>
  <si>
    <t>107.30742974877728</t>
  </si>
  <si>
    <t>08170058177</t>
  </si>
  <si>
    <t>082358500180</t>
  </si>
  <si>
    <t>UIN Alauddin Makassar</t>
  </si>
  <si>
    <t>-7.015507051916656</t>
  </si>
  <si>
    <t>rinafatma.k9@gmail.com</t>
  </si>
  <si>
    <t>116.88475983447506</t>
  </si>
  <si>
    <t>muhihsan.official@gmail.com</t>
  </si>
  <si>
    <t>-1.2388643314128547</t>
  </si>
  <si>
    <t>110.40283900545089</t>
  </si>
  <si>
    <t>-7.138464651192474</t>
  </si>
  <si>
    <t>085399581185</t>
  </si>
  <si>
    <t>119.49672959379313</t>
  </si>
  <si>
    <t>-5.204598233467454</t>
  </si>
  <si>
    <t>Desi Herawaty</t>
  </si>
  <si>
    <t>SMKN 63 Jakarta</t>
  </si>
  <si>
    <r>
      <rPr>
        <sz val="10"/>
        <color rgb="FF434343"/>
        <rFont val="Roboto"/>
      </rPr>
      <t xml:space="preserve">Feptiana Aknes Pangastuti, </t>
    </r>
    <r>
      <rPr>
        <u/>
        <sz val="10"/>
        <color rgb="FF1155CC"/>
        <rFont val="Roboto"/>
      </rPr>
      <t>S.Pd.SD</t>
    </r>
    <r>
      <rPr>
        <sz val="10"/>
        <color rgb="FF434343"/>
        <rFont val="Roboto"/>
      </rPr>
      <t>.</t>
    </r>
  </si>
  <si>
    <t>Felana Afifah, S.Pd.</t>
  </si>
  <si>
    <t>106.79627833032397</t>
  </si>
  <si>
    <t>SDN Kalisegoro</t>
  </si>
  <si>
    <t>-6.352366915417253</t>
  </si>
  <si>
    <t xml:space="preserve">IPB University </t>
  </si>
  <si>
    <t>felanaafifah.fa@gmail.com</t>
  </si>
  <si>
    <t>081316346931</t>
  </si>
  <si>
    <t>Ikrima Farishani Bakhtiar, S.P</t>
  </si>
  <si>
    <t>081575071512</t>
  </si>
  <si>
    <t>Madrasah Technonatura Depok</t>
  </si>
  <si>
    <t>hakimalamsyah5@gmail.com</t>
  </si>
  <si>
    <t>110.38228617648784</t>
  </si>
  <si>
    <t>-7.060028132336865</t>
  </si>
  <si>
    <t>Karimah Fitri</t>
  </si>
  <si>
    <t>106.84062591671959</t>
  </si>
  <si>
    <t xml:space="preserve">Andalas University </t>
  </si>
  <si>
    <t>-6.364527782701364</t>
  </si>
  <si>
    <t>fitrikarimah740@gmail.com</t>
  </si>
  <si>
    <t>Andrik Winardi</t>
  </si>
  <si>
    <t>081320668515</t>
  </si>
  <si>
    <t>100.45810250751786</t>
  </si>
  <si>
    <t>SMP Negeri 22 Semarang</t>
  </si>
  <si>
    <t>-0.9152235659423764</t>
  </si>
  <si>
    <t>Mira Humaira, S.Si., M.Si.</t>
  </si>
  <si>
    <t xml:space="preserve">Perpustakaan </t>
  </si>
  <si>
    <t xml:space="preserve">D3 Perpustakaan </t>
  </si>
  <si>
    <t xml:space="preserve">Universitas Malikussaleh </t>
  </si>
  <si>
    <t>082216456925</t>
  </si>
  <si>
    <t>mirahumaira03@gmail.com</t>
  </si>
  <si>
    <t>andrikwinardi@gmail.com</t>
  </si>
  <si>
    <t>082364444484</t>
  </si>
  <si>
    <t>110.36015978577045</t>
  </si>
  <si>
    <t>96.98600576833871</t>
  </si>
  <si>
    <t xml:space="preserve">-7.0734422661167455, </t>
  </si>
  <si>
    <t>5.232104449118854</t>
  </si>
  <si>
    <t>A. Ma'sum S, S.P.</t>
  </si>
  <si>
    <t>Dewi Maharani, S.Hut., M.Sc.</t>
  </si>
  <si>
    <t>SMK N 6 Kendal</t>
  </si>
  <si>
    <t>dewi047@brin.go.id</t>
  </si>
  <si>
    <t>082221465071</t>
  </si>
  <si>
    <t>S1 Agronomi</t>
  </si>
  <si>
    <t>082136820852</t>
  </si>
  <si>
    <t>andimaksum53@gmail.com</t>
  </si>
  <si>
    <t>110.0694175351584</t>
  </si>
  <si>
    <t xml:space="preserve">-7.102880877779969, </t>
  </si>
  <si>
    <t>Indarti Puji Lestari</t>
  </si>
  <si>
    <t>Purwanto, S.Pd.</t>
  </si>
  <si>
    <t>pujipujo69@gmail.com</t>
  </si>
  <si>
    <t>SDN Karangrejo 01</t>
  </si>
  <si>
    <t>081386487987</t>
  </si>
  <si>
    <t>Pendidikan Jasmani, Olahraga dan Kesehatan</t>
  </si>
  <si>
    <t xml:space="preserve">S1 Pendidkan Jasmani </t>
  </si>
  <si>
    <t>08179510821</t>
  </si>
  <si>
    <t>trihandayani00@gmail.com</t>
  </si>
  <si>
    <t>M. Salauddin Ramadhan Djarod, S.Si., M.Si.</t>
  </si>
  <si>
    <t>110.41184797514242</t>
  </si>
  <si>
    <t xml:space="preserve">-7.0282009964088035, </t>
  </si>
  <si>
    <t>Lambung Mangkurat University</t>
  </si>
  <si>
    <t>m.salauddin.r.d@gmail.com</t>
  </si>
  <si>
    <t>Walan Setia Pangastuti, S.Pd.</t>
  </si>
  <si>
    <t>087731061995</t>
  </si>
  <si>
    <t>114.58515958843724</t>
  </si>
  <si>
    <t>SMAN 1 WELERI</t>
  </si>
  <si>
    <t>-3.297823592849862</t>
  </si>
  <si>
    <t>Dwi Ratna Anugrahwati</t>
  </si>
  <si>
    <t>085226606736</t>
  </si>
  <si>
    <t>Mataram University</t>
  </si>
  <si>
    <t>walansetiapangastuti@gmail.com</t>
  </si>
  <si>
    <t>anugrahwatidwi@gmail.com</t>
  </si>
  <si>
    <t>110.05029749303635</t>
  </si>
  <si>
    <t>-6.961334121193109</t>
  </si>
  <si>
    <t>081805215124</t>
  </si>
  <si>
    <t>116.09219032847622</t>
  </si>
  <si>
    <t>-8.587192931369911</t>
  </si>
  <si>
    <t>Indra Dio Mei Pratama, S.Pd.</t>
  </si>
  <si>
    <t>SDN Jatisari</t>
  </si>
  <si>
    <t>Deti Purwanti, S.Si.</t>
  </si>
  <si>
    <t>Universitas Indonesia</t>
  </si>
  <si>
    <t>Guru kelas</t>
  </si>
  <si>
    <t>deti.p@ui.ac.id</t>
  </si>
  <si>
    <t>083896723787</t>
  </si>
  <si>
    <t>087813722058</t>
  </si>
  <si>
    <t>106.82716478483168</t>
  </si>
  <si>
    <t>indradio123@gmail.com</t>
  </si>
  <si>
    <t>-6.360568136231929</t>
  </si>
  <si>
    <t>110.3083620267011</t>
  </si>
  <si>
    <t>-7.077088433536198</t>
  </si>
  <si>
    <t>Miza Baiduri Damanik</t>
  </si>
  <si>
    <t>Sri Nuryani, M.Pd.</t>
  </si>
  <si>
    <t>Universitas Syiah Kuala</t>
  </si>
  <si>
    <t>mizabaiduridamanik@gmail.com</t>
  </si>
  <si>
    <t xml:space="preserve">SMA Negeri 12 Semarang </t>
  </si>
  <si>
    <t>085761307097</t>
  </si>
  <si>
    <t xml:space="preserve">S2 Pend IPA Konsentrasi Pend Biologi </t>
  </si>
  <si>
    <t>085293320677</t>
  </si>
  <si>
    <t>nuryani232@gmail.com</t>
  </si>
  <si>
    <t>Cornelia Joyceline Dheanova</t>
  </si>
  <si>
    <t>110.37120012464027</t>
  </si>
  <si>
    <t>-7.086413514534597</t>
  </si>
  <si>
    <t>cornelia.joyceline.2303436@students.um.ac.id</t>
  </si>
  <si>
    <t>Kelana Gusti Arwan Fernando, S.Pd., Gr.</t>
  </si>
  <si>
    <t>082155111290</t>
  </si>
  <si>
    <t>112.61859257455649</t>
  </si>
  <si>
    <t>-7.960410503796293</t>
  </si>
  <si>
    <t>SDN WONOLOPO 01</t>
  </si>
  <si>
    <t>Novita Dewi Winarni, S.Pd.</t>
  </si>
  <si>
    <t>PGSD</t>
  </si>
  <si>
    <t>Universitas Muhammadiyah Purwokerto</t>
  </si>
  <si>
    <t>Novitawinarni@gmail.com</t>
  </si>
  <si>
    <t>085879142442</t>
  </si>
  <si>
    <t>Riski Yohanes Sondakh</t>
  </si>
  <si>
    <t>085878265272</t>
  </si>
  <si>
    <t>kelanafernando@gmail.com</t>
  </si>
  <si>
    <t>109.2718531531186</t>
  </si>
  <si>
    <t>110.3055944519098</t>
  </si>
  <si>
    <t>-7.057162177515452</t>
  </si>
  <si>
    <t>-7.412371892047699</t>
  </si>
  <si>
    <t>SMA KATOLIK AQUINO Manado</t>
  </si>
  <si>
    <t>riskisondakh96@gmail.com</t>
  </si>
  <si>
    <t>085342081908</t>
  </si>
  <si>
    <t>Suhartini, S.Pd.</t>
  </si>
  <si>
    <t>Yati Haryati, S.P., M.Sc.</t>
  </si>
  <si>
    <t>124.8328309</t>
  </si>
  <si>
    <t>1.462233231</t>
  </si>
  <si>
    <t>National Research and Inovation Agency</t>
  </si>
  <si>
    <t>SMK N 4 Kendal</t>
  </si>
  <si>
    <t>yati006@brin.go.id</t>
  </si>
  <si>
    <t>081224538304</t>
  </si>
  <si>
    <t>Meiske</t>
  </si>
  <si>
    <t>106.82216580100571</t>
  </si>
  <si>
    <t>Produktif Kuliner</t>
  </si>
  <si>
    <t>-6.185021964894369</t>
  </si>
  <si>
    <t>SMA Negeri  2 Manado</t>
  </si>
  <si>
    <t>S1 PKK Pendidikan Tata Boga</t>
  </si>
  <si>
    <t>meiske.9@guru.sma.belajar.id</t>
  </si>
  <si>
    <t>0895342600466</t>
  </si>
  <si>
    <t>085217289748</t>
  </si>
  <si>
    <t>hartinijsb@gmail.com</t>
  </si>
  <si>
    <t>124.8546176</t>
  </si>
  <si>
    <t>1.459319256</t>
  </si>
  <si>
    <t>110.23023124087983</t>
  </si>
  <si>
    <t>-6.946589728177204</t>
  </si>
  <si>
    <t xml:space="preserve">Nimas Safina Wulansari Haryati </t>
  </si>
  <si>
    <t>Gracesela Tangka</t>
  </si>
  <si>
    <t>SOLIKIN, S.Pd.</t>
  </si>
  <si>
    <t xml:space="preserve">Universitas Trunodjoyo Madura </t>
  </si>
  <si>
    <t>SMA Kristen Eben Harzer Manado</t>
  </si>
  <si>
    <t>graceselatangka2511@gmail.com</t>
  </si>
  <si>
    <t xml:space="preserve">nimassafinawulansari@gmail.com </t>
  </si>
  <si>
    <t xml:space="preserve">SMAN 1 SUSUKAN </t>
  </si>
  <si>
    <t>081990599158</t>
  </si>
  <si>
    <t>124.8464851</t>
  </si>
  <si>
    <t>1.471460302</t>
  </si>
  <si>
    <t>085259558459</t>
  </si>
  <si>
    <t>B.Inggris</t>
  </si>
  <si>
    <t>Naflia Ferline Ingrit Pratasik</t>
  </si>
  <si>
    <t xml:space="preserve"> 112.72307969533334</t>
  </si>
  <si>
    <t>S1 Bahasa Inggris</t>
  </si>
  <si>
    <t>-7.128141688250753</t>
  </si>
  <si>
    <t>085760845580</t>
  </si>
  <si>
    <t>SMA Prisma Pioneer</t>
  </si>
  <si>
    <t>solikinspd70@gmail.com</t>
  </si>
  <si>
    <t>nfip1979@gmail.com</t>
  </si>
  <si>
    <t>08114358323</t>
  </si>
  <si>
    <t>110.58755365002877</t>
  </si>
  <si>
    <t>-7.432734286201595</t>
  </si>
  <si>
    <t>124.8554939</t>
  </si>
  <si>
    <t>1.474539628</t>
  </si>
  <si>
    <t>Ribka Bura S.Pd.</t>
  </si>
  <si>
    <t>Dra Eva Palenewen MSi</t>
  </si>
  <si>
    <t>Andre Sektiawan</t>
  </si>
  <si>
    <t>SMK N 7 MERAUKE</t>
  </si>
  <si>
    <t>Ribkabura86@gmail.com</t>
  </si>
  <si>
    <t>082199006349</t>
  </si>
  <si>
    <t xml:space="preserve">SMAS YPKM Manado </t>
  </si>
  <si>
    <t>SMAN 1 BERGAS</t>
  </si>
  <si>
    <t>evapalenewen568@gmail.com</t>
  </si>
  <si>
    <t>VICTORIO POERNOMO</t>
  </si>
  <si>
    <t>0895801841974</t>
  </si>
  <si>
    <t>Padjadjaran University</t>
  </si>
  <si>
    <t>124.8446477</t>
  </si>
  <si>
    <t>1.49336103</t>
  </si>
  <si>
    <t>victoriopoernomo168@gmail.com</t>
  </si>
  <si>
    <t>Tendik</t>
  </si>
  <si>
    <t>RONNY ROLLAN RAINTAMA</t>
  </si>
  <si>
    <t>085899155488</t>
  </si>
  <si>
    <t>SMK Holtikultura</t>
  </si>
  <si>
    <t>085741222341</t>
  </si>
  <si>
    <t>Sma Prisma Pioneer</t>
  </si>
  <si>
    <t>andresekti@gmail.com</t>
  </si>
  <si>
    <t>ronnyspd41@guru.sma.belajar.id</t>
  </si>
  <si>
    <t>110.42523899259096</t>
  </si>
  <si>
    <t>-7.190835384696656</t>
  </si>
  <si>
    <t>082144938272</t>
  </si>
  <si>
    <t>Chery Soraya Amartillah SP M.Si.</t>
  </si>
  <si>
    <t>124.855451</t>
  </si>
  <si>
    <t>Center for the Implementation of Agricultural Modernization Jakarta</t>
  </si>
  <si>
    <t>1.47460398</t>
  </si>
  <si>
    <t>chery.ammatillah@gmail.com</t>
  </si>
  <si>
    <t>081586073897</t>
  </si>
  <si>
    <t>Alwan Masruri, S.Pd.I.</t>
  </si>
  <si>
    <t>106.83486442081808</t>
  </si>
  <si>
    <t>-6.286292863184231</t>
  </si>
  <si>
    <t>Revando Jordan Laurentius Welang, S.Si.</t>
  </si>
  <si>
    <t>Nur Qalbi, S.Hut., M.Hut.</t>
  </si>
  <si>
    <t xml:space="preserve">MI Gedanganak </t>
  </si>
  <si>
    <t>SMK Kehutanan Negeri Makassar</t>
  </si>
  <si>
    <t>SMA NEGERI 8 MANADO</t>
  </si>
  <si>
    <t>nurqalbi8684@gmail.com</t>
  </si>
  <si>
    <t>revandojordan18@gmail.com</t>
  </si>
  <si>
    <t>081241639513</t>
  </si>
  <si>
    <t>085696151202</t>
  </si>
  <si>
    <t>119.52004888148959</t>
  </si>
  <si>
    <t>-5.084989414341338</t>
  </si>
  <si>
    <t>124.8904149</t>
  </si>
  <si>
    <t>1.506913527</t>
  </si>
  <si>
    <t>Baiq Erna Listiana, M.Biotech.St.</t>
  </si>
  <si>
    <t>S1 Tarbiyah</t>
  </si>
  <si>
    <t>University of Mataram</t>
  </si>
  <si>
    <t>e.listiana@unram.ac.id</t>
  </si>
  <si>
    <t>085727702700</t>
  </si>
  <si>
    <t>081236002035</t>
  </si>
  <si>
    <t>alwanmasruri84@gmail.com</t>
  </si>
  <si>
    <t>Fiece Ellen Mantiri, M.Pd</t>
  </si>
  <si>
    <t>110.42033521664898</t>
  </si>
  <si>
    <t>-7.149659181562219</t>
  </si>
  <si>
    <t>SMK NEGERI 2 MANADO</t>
  </si>
  <si>
    <t>mantiriellen84@gmail.com</t>
  </si>
  <si>
    <t>Nabilah Istighfari Z., S.Si., M.Si.</t>
  </si>
  <si>
    <t>081241877792</t>
  </si>
  <si>
    <t>IPB University</t>
  </si>
  <si>
    <t>124.8574677</t>
  </si>
  <si>
    <t>1.469917729</t>
  </si>
  <si>
    <t>nabilahistighfari@apps.ipb.ac.id</t>
  </si>
  <si>
    <t>085731229616</t>
  </si>
  <si>
    <t>Ir. Titi Juhaeti, M.Si.</t>
  </si>
  <si>
    <t>PRBT BRIN</t>
  </si>
  <si>
    <t>titi002@brin.go.id</t>
  </si>
  <si>
    <t>08179036941</t>
  </si>
  <si>
    <t>106.84705884157162</t>
  </si>
  <si>
    <t>-6.492724510185243</t>
  </si>
  <si>
    <t>124.8573711</t>
  </si>
  <si>
    <t>1.46996063</t>
  </si>
  <si>
    <t>Evi Yunita Sari, S.Pd., M.Si.</t>
  </si>
  <si>
    <t>MARLON ALVA MAMANTUNG</t>
  </si>
  <si>
    <t>eviyunita@polinela.ac.id</t>
  </si>
  <si>
    <t>085267724303</t>
  </si>
  <si>
    <t>SMK Negeri 3 Manado</t>
  </si>
  <si>
    <t>alvamarlon445@gmail.com</t>
  </si>
  <si>
    <t>082195277303</t>
  </si>
  <si>
    <t xml:space="preserve"> 124.84913653704528</t>
  </si>
  <si>
    <t>1.4821570529568862</t>
  </si>
  <si>
    <t>Erlin Yulianti, S.P.</t>
  </si>
  <si>
    <t xml:space="preserve">Olvie Netty Mieke Mondoringin </t>
  </si>
  <si>
    <t>SMK.Negeri 2 Pacet</t>
  </si>
  <si>
    <t>erlinyulianti57@guru.smk.belajar.id</t>
  </si>
  <si>
    <t xml:space="preserve">SMK Negeri 1 Manado </t>
  </si>
  <si>
    <t>olviemondoringin21@gmail.com</t>
  </si>
  <si>
    <t>081912138486</t>
  </si>
  <si>
    <t>085256806828</t>
  </si>
  <si>
    <t>107.02799206814687</t>
  </si>
  <si>
    <t xml:space="preserve"> 124.83853933704533</t>
  </si>
  <si>
    <t>-6.75025996776575</t>
  </si>
  <si>
    <t>1.4643521078496633</t>
  </si>
  <si>
    <t>Dr. Anneke Pesik, SP., M.Si.</t>
  </si>
  <si>
    <t>Universitas Pattimura Ambon</t>
  </si>
  <si>
    <t>Suhesti Kolinug</t>
  </si>
  <si>
    <t>anneke.pesik@lecturer.unpatti.ac.id</t>
  </si>
  <si>
    <t>08128416212</t>
  </si>
  <si>
    <t>SMK NEGERI 3 MANADO</t>
  </si>
  <si>
    <t>128.1956458529124</t>
  </si>
  <si>
    <t>suhestikolinug30@guru.smk.belajar.id</t>
  </si>
  <si>
    <t>-3.654683078308534</t>
  </si>
  <si>
    <t>081246667085</t>
  </si>
  <si>
    <t>124.84926528307945</t>
  </si>
  <si>
    <t xml:space="preserve">1.482189228695521 </t>
  </si>
  <si>
    <t>Dwi Wulan SP., MP</t>
  </si>
  <si>
    <t>UIN SUSKA Riau</t>
  </si>
  <si>
    <t>Lanny Dalending, S.Pd</t>
  </si>
  <si>
    <t>dwiwulan898@gmai.com</t>
  </si>
  <si>
    <t>082286104947</t>
  </si>
  <si>
    <t>101.35768630527808</t>
  </si>
  <si>
    <t>0.4664826399956445</t>
  </si>
  <si>
    <t>SMK Negeri Pertanian Pembangunan Kalasey</t>
  </si>
  <si>
    <t>lanny.dalending@gmail.com</t>
  </si>
  <si>
    <t>082271522973 / 081380926552</t>
  </si>
  <si>
    <t>Esti Carolina, S.P.</t>
  </si>
  <si>
    <t>INAGRO</t>
  </si>
  <si>
    <t>124.768762409339</t>
  </si>
  <si>
    <t>estycarolina143@gmail.com</t>
  </si>
  <si>
    <t>1.4477358939938079</t>
  </si>
  <si>
    <t>085697113733</t>
  </si>
  <si>
    <t>106.6853309247468</t>
  </si>
  <si>
    <t>-6.494090736505239</t>
  </si>
  <si>
    <t xml:space="preserve">Silvana Porajow </t>
  </si>
  <si>
    <t>Dr Yuli Sulistyowati</t>
  </si>
  <si>
    <t xml:space="preserve">SMP NEGERI 4 MANADO </t>
  </si>
  <si>
    <t>sporajow84@gmail.com</t>
  </si>
  <si>
    <t>ysulistyowati21@gmail.com</t>
  </si>
  <si>
    <t>085240650792</t>
  </si>
  <si>
    <t>124.8396501741273</t>
  </si>
  <si>
    <t>087872230918</t>
  </si>
  <si>
    <t>1.4532854701886995</t>
  </si>
  <si>
    <t>ADOLPINA BAWUES, S.Pd</t>
  </si>
  <si>
    <t>Ryndra Arya Dwi Pandiga</t>
  </si>
  <si>
    <t>SMK NEGERI 1 MANADO</t>
  </si>
  <si>
    <t>lovyadol21@gmail.com</t>
  </si>
  <si>
    <t>082194877375</t>
  </si>
  <si>
    <t xml:space="preserve">University of Padjadjaran </t>
  </si>
  <si>
    <t>124.83856181699468</t>
  </si>
  <si>
    <t>1.4640736979193136</t>
  </si>
  <si>
    <t>ryndra23002@mail.unpad.ac.id</t>
  </si>
  <si>
    <t>085975385596</t>
  </si>
  <si>
    <t>Dra. Nova Magrethi Momongan</t>
  </si>
  <si>
    <t>novamomongan@gmail.com</t>
  </si>
  <si>
    <t>0852-4038-9961</t>
  </si>
  <si>
    <t>Illiyien Sita Permadani</t>
  </si>
  <si>
    <t>Universitas Trunodjoyo Madura</t>
  </si>
  <si>
    <t>sitaprmdn4@gmail.com</t>
  </si>
  <si>
    <t>Susan Hetty Taariwuan,S.Pd</t>
  </si>
  <si>
    <t>082131699139</t>
  </si>
  <si>
    <t>112.72307562401915</t>
  </si>
  <si>
    <t>SMA N 4 MANADO</t>
  </si>
  <si>
    <t>susantaariwuan54@guru.sma.belajar.id</t>
  </si>
  <si>
    <t>-7.128147780514242</t>
  </si>
  <si>
    <t>085399559704</t>
  </si>
  <si>
    <t>124.87418683367308</t>
  </si>
  <si>
    <t>1.4742779921723674</t>
  </si>
  <si>
    <t>Tricia Agustina, S.P.</t>
  </si>
  <si>
    <t>SMAN 1 Dramaga</t>
  </si>
  <si>
    <t>triciaagustina@gmail.com</t>
  </si>
  <si>
    <t>08111101853</t>
  </si>
  <si>
    <t>106.73994400294899</t>
  </si>
  <si>
    <t>-6.570183626870226</t>
  </si>
  <si>
    <t>Ir Edhi Sandra MSu</t>
  </si>
  <si>
    <t>edhisms@gmail.com</t>
  </si>
  <si>
    <t>08128213720</t>
  </si>
  <si>
    <t>Elok Rifqi Firdiana, M.Si.</t>
  </si>
  <si>
    <t>National Research and Innovation Agency (BRIN)</t>
  </si>
  <si>
    <t>elok.firdiana@gmail.com</t>
  </si>
  <si>
    <t>085855462095</t>
  </si>
  <si>
    <t>Ir. Dedeh Siti Badriah, M.Si.</t>
  </si>
  <si>
    <t>dedehsb22@gmail.com</t>
  </si>
  <si>
    <t>08120929503</t>
  </si>
  <si>
    <t>Rahnah Fazaisyah</t>
  </si>
  <si>
    <t>Universitas Padjadjaran</t>
  </si>
  <si>
    <t>Rahnah.fazaisyah@gmail.com</t>
  </si>
  <si>
    <t>082130550871</t>
  </si>
  <si>
    <t>107.77171668208189</t>
  </si>
  <si>
    <t>-6.92075096446521</t>
  </si>
  <si>
    <t>Kinanti Puspa Negari</t>
  </si>
  <si>
    <t>kinantipuspaa31@gmail.com</t>
  </si>
  <si>
    <t>081224997464</t>
  </si>
  <si>
    <t>SYAR'IPUDDIN S.Pi., M.Si.</t>
  </si>
  <si>
    <t xml:space="preserve">BPBL Ambon </t>
  </si>
  <si>
    <t>syaripuddinsima@gmail.com</t>
  </si>
  <si>
    <t>081343240420</t>
  </si>
  <si>
    <t>Ir. Eliya Suita, M.Ling.</t>
  </si>
  <si>
    <t>eliyasuita@yahoo.co.id</t>
  </si>
  <si>
    <t>085697264668</t>
  </si>
  <si>
    <t>Dr. Joan Joulanda Grace kailola, S.P., M.Si.</t>
  </si>
  <si>
    <t>Faculty of Agriculture Pattimura University</t>
  </si>
  <si>
    <t>joankailola@gmail.com</t>
  </si>
  <si>
    <t>081343031176</t>
  </si>
  <si>
    <t>128.19386382139666</t>
  </si>
  <si>
    <t>-3.652866779513889</t>
  </si>
  <si>
    <t>Ika Listiana, M.Si.</t>
  </si>
  <si>
    <t>UIN Raden Intan Lampung</t>
  </si>
  <si>
    <t>ikalistiana@radenintan.ac.id</t>
  </si>
  <si>
    <t>082177379177</t>
  </si>
  <si>
    <t>105.30361442104537</t>
  </si>
  <si>
    <t>-5.383426185072832</t>
  </si>
  <si>
    <t>Dyaga Follen Mkomwa</t>
  </si>
  <si>
    <t>mkomwadyaga@gmail.com</t>
  </si>
  <si>
    <t>+255689629065</t>
  </si>
  <si>
    <t>Euodia Hodesy Rasuli</t>
  </si>
  <si>
    <t>euodia23001@mail.unpad.ac.id</t>
  </si>
  <si>
    <t>081318279829</t>
  </si>
  <si>
    <t>Hamsah Amiruddin</t>
  </si>
  <si>
    <t xml:space="preserve">Mariculture Center Of Ambon </t>
  </si>
  <si>
    <t xml:space="preserve">hamsahamiruddin0105@gmail.com </t>
  </si>
  <si>
    <t>082198991618</t>
  </si>
  <si>
    <t>128.2148610200505</t>
  </si>
  <si>
    <t>-3.6313940126514135</t>
  </si>
  <si>
    <t>Apriyono Rahadiantoro, M.Si.</t>
  </si>
  <si>
    <t>onoy29@gmail.com</t>
  </si>
  <si>
    <t>085850889470</t>
  </si>
  <si>
    <t>Devi Nurfadilla, SP., MP.</t>
  </si>
  <si>
    <t>UIN Sultan Syarif Kasim Riau</t>
  </si>
  <si>
    <t>devinurfadilla4@gmail.com</t>
  </si>
  <si>
    <t>082287081710</t>
  </si>
  <si>
    <t>101.35772304011905</t>
  </si>
  <si>
    <t>0.46654157202405283</t>
  </si>
  <si>
    <t>Kurniawan Budiarto, Ph.D.</t>
  </si>
  <si>
    <t>kh.soudthedlath.most@gmail.com</t>
  </si>
  <si>
    <t>02059865426</t>
  </si>
  <si>
    <t>Rifda Afifah, S.Hut, M.Si.</t>
  </si>
  <si>
    <t>Esha Flora</t>
  </si>
  <si>
    <t>rifdaafifah4@gmail.com</t>
  </si>
  <si>
    <t>082122084215</t>
  </si>
  <si>
    <t>106.77606030139698</t>
  </si>
  <si>
    <t>-6.560807266029389</t>
  </si>
  <si>
    <t>Sheva Setya Amalia</t>
  </si>
  <si>
    <t>sheva5485@gmail.com</t>
  </si>
  <si>
    <t>085888114316</t>
  </si>
  <si>
    <t>Rizka Nurfitriani, S.P.</t>
  </si>
  <si>
    <t>Universitas Muhammadiyah Malang</t>
  </si>
  <si>
    <t>nurfitrianirizka@gmail.com</t>
  </si>
  <si>
    <t>082333184557</t>
  </si>
  <si>
    <t>112.5977757847144</t>
  </si>
  <si>
    <t>-7.920489509772399</t>
  </si>
  <si>
    <t>Sri Indrayani, S.Si.</t>
  </si>
  <si>
    <t>srii003@brin.go.id</t>
  </si>
  <si>
    <t>081316602216</t>
  </si>
  <si>
    <t xml:space="preserve">-6.500545116722 </t>
  </si>
  <si>
    <t>Dr. Ni Wayan Sri Suliartini, SP., MP.</t>
  </si>
  <si>
    <t>srisuliartini@unram.ac.id</t>
  </si>
  <si>
    <t>087859593876</t>
  </si>
  <si>
    <t>Taufiq Hidayat RS</t>
  </si>
  <si>
    <t xml:space="preserve">IPB </t>
  </si>
  <si>
    <t>hidayat.taufiq87@gmail.com</t>
  </si>
  <si>
    <t>085242550877</t>
  </si>
  <si>
    <t>Abdee Fathi Faturrachman</t>
  </si>
  <si>
    <t xml:space="preserve">Universitas Pendidikan Indonesia </t>
  </si>
  <si>
    <t>abdeefathifaturrachman@gmail.com</t>
  </si>
  <si>
    <t>085212488435</t>
  </si>
  <si>
    <t>107.59217779560034</t>
  </si>
  <si>
    <t>-6.861088599813398</t>
  </si>
  <si>
    <t>Ir. Muhammad Zanzibar, MM.</t>
  </si>
  <si>
    <t>muhammadzanzibar@yahoo.com</t>
  </si>
  <si>
    <t>0811116247</t>
  </si>
  <si>
    <t>Eka Fibrianty, SP. MSi.</t>
  </si>
  <si>
    <t>ekapagaralam@gmail.com</t>
  </si>
  <si>
    <t>087720205252</t>
  </si>
  <si>
    <t>Vionita Octa Ramadhantis</t>
  </si>
  <si>
    <t>vionita22001@mail.unpad.ac.id</t>
  </si>
  <si>
    <t>082385227365</t>
  </si>
  <si>
    <t>Ahmad Syahrian Siregar SP., MSc.</t>
  </si>
  <si>
    <t>rianlitbang@gmail.com</t>
  </si>
  <si>
    <t>08112108066</t>
  </si>
  <si>
    <t>Riseyni Amanda Ajietya</t>
  </si>
  <si>
    <t>Universitas Nusa Bangsa</t>
  </si>
  <si>
    <t>eni241101@gmail.com</t>
  </si>
  <si>
    <t>08989453626</t>
  </si>
  <si>
    <t>NURUL QUR'ANI, S. Si.</t>
  </si>
  <si>
    <t>Dinas Ketahanan Pangan dan Pertanian Kota Surabaya</t>
  </si>
  <si>
    <t>nurulq1997@gmail.com</t>
  </si>
  <si>
    <t>082232785893</t>
  </si>
  <si>
    <t>112.71192474841665</t>
  </si>
  <si>
    <t>-7.332956029804938</t>
  </si>
  <si>
    <t>X (Lintang)</t>
  </si>
  <si>
    <t>Y (Bujur)</t>
  </si>
  <si>
    <t>SDN Karangrejo 02 Semarang</t>
  </si>
  <si>
    <t>dwisetyowati302@gmail.com</t>
  </si>
  <si>
    <t>110.41752291998594</t>
  </si>
  <si>
    <t>-7.025011946650271</t>
  </si>
  <si>
    <t>I Made Ngenteg, S.Pd.</t>
  </si>
  <si>
    <t>SD Negeri 4 Tonja</t>
  </si>
  <si>
    <t>Ayyu Rahayu, M.P.</t>
  </si>
  <si>
    <t>National Research and Innovation Agency of Republic Indonesia (BRIN)</t>
  </si>
  <si>
    <t>ayyu001@brin.go.id</t>
  </si>
  <si>
    <t>-8.624284391412841</t>
  </si>
  <si>
    <t>085749309224</t>
  </si>
  <si>
    <t xml:space="preserve"> 115.22205590922164</t>
  </si>
  <si>
    <t>Dr. Asmaliyah, M.Sc.</t>
  </si>
  <si>
    <t>National Innovation Research Agency</t>
  </si>
  <si>
    <t>asma005@brin.go.id</t>
  </si>
  <si>
    <t>08127829438</t>
  </si>
  <si>
    <t>Ir. Tri Handayani</t>
  </si>
  <si>
    <t>Ni Made Dwipayani, S.Pd.</t>
  </si>
  <si>
    <t>National Research and Innovation Agency</t>
  </si>
  <si>
    <t>irtri@yahoo.co.id</t>
  </si>
  <si>
    <t>SD Negeri 5 Peguyangan</t>
  </si>
  <si>
    <t>085892982703</t>
  </si>
  <si>
    <t>-8.63423976105454</t>
  </si>
  <si>
    <t xml:space="preserve"> 115.21209968223798</t>
  </si>
  <si>
    <t>David Putera Abdi Ginting, S.TP.</t>
  </si>
  <si>
    <t>Balai Besar Penerapan Modernisasi Pertanian Jakarta</t>
  </si>
  <si>
    <t>david.stp@gmail.com</t>
  </si>
  <si>
    <t>Ni Komang Suriatini, S.Pd.</t>
  </si>
  <si>
    <t>081383880256</t>
  </si>
  <si>
    <t>106.83484629649503</t>
  </si>
  <si>
    <t>Supriadi budiman,S.Pd.</t>
  </si>
  <si>
    <t>SD Negeri 2 Tonja</t>
  </si>
  <si>
    <t>-6.286296055288307</t>
  </si>
  <si>
    <t>SMAN 1 Sembalun</t>
  </si>
  <si>
    <t>-8.6395753133795</t>
  </si>
  <si>
    <t>suhartatidamsi1@gmail.com</t>
  </si>
  <si>
    <t>Reni Mayerni</t>
  </si>
  <si>
    <t xml:space="preserve"> 115.23030960922188</t>
  </si>
  <si>
    <t>087763422008</t>
  </si>
  <si>
    <t>Universitas Andalas</t>
  </si>
  <si>
    <t>116.51980843212765</t>
  </si>
  <si>
    <t>prof.renimayerni@gmail.com</t>
  </si>
  <si>
    <t>Ni Made Simpen, S.Pd.</t>
  </si>
  <si>
    <t>-8.358481580435338</t>
  </si>
  <si>
    <t>085358852964</t>
  </si>
  <si>
    <t>SD Negeri 1 Renon</t>
  </si>
  <si>
    <t>https://sekolah.data.kemendikdasmen.go.id/profil-sekolah/A727F1D8-9193-4174-B384-7437E9117531</t>
  </si>
  <si>
    <t>-8.678088931290969</t>
  </si>
  <si>
    <t>115.24292518223868</t>
  </si>
  <si>
    <t>Alkhikmah, S. Si.</t>
  </si>
  <si>
    <t>I Komang Tri Wamsa Pranatha, S.Pd.H</t>
  </si>
  <si>
    <t>Universitas muhammadiyah purwokerto</t>
  </si>
  <si>
    <t>alhikmahaulia@gmail.com</t>
  </si>
  <si>
    <t>SD Negeri 7 Pedungan</t>
  </si>
  <si>
    <t>081327389539</t>
  </si>
  <si>
    <t>-8.694729224911669</t>
  </si>
  <si>
    <t xml:space="preserve"> 115.21003056874714</t>
  </si>
  <si>
    <t>Johri, S.Ag.</t>
  </si>
  <si>
    <t>Ni Putu Yulia Wijayanti, S.S.</t>
  </si>
  <si>
    <t>Prof. Dr. Ir. Enny Adelina, M.P.</t>
  </si>
  <si>
    <t>SMAN 1 SEMBALUN</t>
  </si>
  <si>
    <t>SD Negeri 7 Dauh Puri</t>
  </si>
  <si>
    <t>Tadulako University</t>
  </si>
  <si>
    <t>endangenda82@gmail.com</t>
  </si>
  <si>
    <t>ennyadelina@gmail.com</t>
  </si>
  <si>
    <t>-8.694718619373623</t>
  </si>
  <si>
    <t>081916349666</t>
  </si>
  <si>
    <t>085241088115</t>
  </si>
  <si>
    <t xml:space="preserve"> 115.21006275525525</t>
  </si>
  <si>
    <t>119.89369079443232</t>
  </si>
  <si>
    <t>-0.8363935550670043</t>
  </si>
  <si>
    <t>I Wayan Eka Budiman, S.Pd.</t>
  </si>
  <si>
    <t>Arlia Dwi Hapsari</t>
  </si>
  <si>
    <t>SD Negeri 2 Sanur</t>
  </si>
  <si>
    <t>Razikin Masruri</t>
  </si>
  <si>
    <t>BRMP TRI - Kementan</t>
  </si>
  <si>
    <t>-8.67437974857897</t>
  </si>
  <si>
    <t>iyakae@yahoo.com</t>
  </si>
  <si>
    <t>ibaiturohman211@guru.smp.belajar.id</t>
  </si>
  <si>
    <t xml:space="preserve"> 115.2552665380584</t>
  </si>
  <si>
    <t>087863336843</t>
  </si>
  <si>
    <t>081809723980</t>
  </si>
  <si>
    <t>I Gede Eddy Sastrawan, S.Pd.</t>
  </si>
  <si>
    <t>106.75253755371361</t>
  </si>
  <si>
    <t>-6.844444429537609</t>
  </si>
  <si>
    <t xml:space="preserve">Hayatullah </t>
  </si>
  <si>
    <t>SD Negeri 16 Kesiman</t>
  </si>
  <si>
    <t xml:space="preserve">SMAN 1 SEMBALUN </t>
  </si>
  <si>
    <t>restiahayanis10@gmail.com</t>
  </si>
  <si>
    <t>087758019994</t>
  </si>
  <si>
    <t>Dr. Ir. Asri Insiana Putri, M.P</t>
  </si>
  <si>
    <t>-8.637595598460909</t>
  </si>
  <si>
    <t xml:space="preserve"> 115.2609509110742</t>
  </si>
  <si>
    <t>asriip.ap@gmail.com</t>
  </si>
  <si>
    <t>BAIQ KHAIRUN NIZAR ARIANY</t>
  </si>
  <si>
    <t>081559728514</t>
  </si>
  <si>
    <t>Ni Putu Titiek Utami Sugiarti, S.Pd.</t>
  </si>
  <si>
    <t>SD Negeri 17 Kesiman</t>
  </si>
  <si>
    <t xml:space="preserve">SMA NEGERI WANASABA </t>
  </si>
  <si>
    <t>ari.tentrem1966@gmail.com</t>
  </si>
  <si>
    <t>085205784658</t>
  </si>
  <si>
    <t>Agus Eko Purnomo, S.P.</t>
  </si>
  <si>
    <t xml:space="preserve"> 116.56859947594417</t>
  </si>
  <si>
    <t>-8.567710801772295</t>
  </si>
  <si>
    <t>-8.646596053517536</t>
  </si>
  <si>
    <t>In Vitro Laboratory, Muhammadiyah Malang University</t>
  </si>
  <si>
    <t>115.26900395340215</t>
  </si>
  <si>
    <t>epurnomo192@gmail.com</t>
  </si>
  <si>
    <t>081949600182</t>
  </si>
  <si>
    <t>MILA NURDIANA</t>
  </si>
  <si>
    <t>112.59765744055383</t>
  </si>
  <si>
    <t>I Putu Aditya Permana, S.Pd.</t>
  </si>
  <si>
    <t>-7.920582873964929</t>
  </si>
  <si>
    <t>SMAN 1 WANASABA</t>
  </si>
  <si>
    <t>SD Negeri 9 Sumerta</t>
  </si>
  <si>
    <t>sugiartamimbar@gmail.com</t>
  </si>
  <si>
    <t>087788400705</t>
  </si>
  <si>
    <t xml:space="preserve"> 116.56855937947275</t>
  </si>
  <si>
    <t>-8.658294599469667</t>
  </si>
  <si>
    <t>-8.567903618581008</t>
  </si>
  <si>
    <t>Abied Khafidhan, S. Si., M. Si.</t>
  </si>
  <si>
    <t xml:space="preserve"> 115.23372513805816</t>
  </si>
  <si>
    <t>Politeknik Negeri Lampung</t>
  </si>
  <si>
    <t>KUSMAYADI, S.Pd</t>
  </si>
  <si>
    <t>akhafidhan@polinela.ac.id</t>
  </si>
  <si>
    <t>Ni Putu Nitya Daryantini, S.Pd.</t>
  </si>
  <si>
    <t>081285024814</t>
  </si>
  <si>
    <t>SMP Negeri 8 Denpasar</t>
  </si>
  <si>
    <t>105.2332930013932</t>
  </si>
  <si>
    <t>SMAN 1 SAMBELIA</t>
  </si>
  <si>
    <t>-5.358873825694813</t>
  </si>
  <si>
    <t>-8.644385266181596</t>
  </si>
  <si>
    <t xml:space="preserve"> 115.23476719573011</t>
  </si>
  <si>
    <t>081805389803</t>
  </si>
  <si>
    <t xml:space="preserve"> 116.6855916813225</t>
  </si>
  <si>
    <t>Dr. Ir. Sjenny Sutryaty Malalantang, MP.</t>
  </si>
  <si>
    <t>-8.372611871610331</t>
  </si>
  <si>
    <t>I Wayan Suta Wira, S.Ag.</t>
  </si>
  <si>
    <t>Fakultas Peternakan Universitas Sam Ratulangi</t>
  </si>
  <si>
    <t>sjennymalalantang@unsrat.ac.id</t>
  </si>
  <si>
    <t>SLB Negeri 2 Denpasar</t>
  </si>
  <si>
    <t>Azwar anas</t>
  </si>
  <si>
    <t>085298484999</t>
  </si>
  <si>
    <t>-8.702719601083164</t>
  </si>
  <si>
    <t>124.82798500607389</t>
  </si>
  <si>
    <t>1.4555788521291917</t>
  </si>
  <si>
    <t>SMAN 1 SUELA</t>
  </si>
  <si>
    <t xml:space="preserve"> 115.22864775155078</t>
  </si>
  <si>
    <t>kurratul.ainisp@gmail.com</t>
  </si>
  <si>
    <t>081907815522</t>
  </si>
  <si>
    <t>Prof. Dr. Ir. Syarif Husen, MP.</t>
  </si>
  <si>
    <t>116.57507762365275</t>
  </si>
  <si>
    <t>Dewa Ayu Sri Hari Priyadewi, S.Pd.</t>
  </si>
  <si>
    <t>Muhammadiyah Malang University</t>
  </si>
  <si>
    <t xml:space="preserve">-8.523064974231577 </t>
  </si>
  <si>
    <t>SMA Negeri 5 Denpasar</t>
  </si>
  <si>
    <t>syarif_husen@umm.ac.id</t>
  </si>
  <si>
    <t>08125295128</t>
  </si>
  <si>
    <t>-8.70275141701664</t>
  </si>
  <si>
    <t>HAMZAH FANSYURI,SH</t>
  </si>
  <si>
    <t>115.2287335822391</t>
  </si>
  <si>
    <t>rrini0466@gmail.com</t>
  </si>
  <si>
    <t>Sumarliyah, S.Si.</t>
  </si>
  <si>
    <t>081805258039</t>
  </si>
  <si>
    <t>116.68552730830542</t>
  </si>
  <si>
    <t>Dr. Dian Latifah, S.P., M.App.Sc.</t>
  </si>
  <si>
    <t>SMK Negeri 4 Denpasar</t>
  </si>
  <si>
    <t xml:space="preserve">-8.372739245450902 </t>
  </si>
  <si>
    <t>Indonesian National Research and Innovation Agency</t>
  </si>
  <si>
    <t>-8.658148827192887</t>
  </si>
  <si>
    <t>dian.latifah@gmail.com</t>
  </si>
  <si>
    <t>NI WYN SARIANI</t>
  </si>
  <si>
    <t>115.23329601107449</t>
  </si>
  <si>
    <t xml:space="preserve">SMAN 1 Sembalun </t>
  </si>
  <si>
    <t>0818231512</t>
  </si>
  <si>
    <t>lindapuspitadewi.lpd@gmail.com</t>
  </si>
  <si>
    <t>Putu Gede Putra Darmadi</t>
  </si>
  <si>
    <t>085738069041</t>
  </si>
  <si>
    <t>Bhaktivedanta Dharma School</t>
  </si>
  <si>
    <t>ESI AFRIANTI, S.Pd.</t>
  </si>
  <si>
    <t>Indah Sulistiyorini, SP, M.Si.</t>
  </si>
  <si>
    <t>SDN 1 Sembalun</t>
  </si>
  <si>
    <t>Kementerian Pertanian</t>
  </si>
  <si>
    <t>saktidedeang@gmail.com</t>
  </si>
  <si>
    <t xml:space="preserve">Sulistiyorini83@gmail.com </t>
  </si>
  <si>
    <t>081907588342</t>
  </si>
  <si>
    <t>116.52891830645197</t>
  </si>
  <si>
    <t xml:space="preserve">-8.359525639343518 </t>
  </si>
  <si>
    <t>085863334736</t>
  </si>
  <si>
    <t>Ni Made Eva Junihensari, S.Pd.</t>
  </si>
  <si>
    <t>SMA Negeri 1 Denpasar</t>
  </si>
  <si>
    <t>NURUL HIDAYATI</t>
  </si>
  <si>
    <t>SDN 2 SAJANG</t>
  </si>
  <si>
    <t>-8.65360703738145</t>
  </si>
  <si>
    <t xml:space="preserve"> 115.22495699573024</t>
  </si>
  <si>
    <t>087758883574</t>
  </si>
  <si>
    <t>Triana Novitasari</t>
  </si>
  <si>
    <t>116.50048956783039</t>
  </si>
  <si>
    <t xml:space="preserve">-8.336969051676789 </t>
  </si>
  <si>
    <t xml:space="preserve">Balai Perikanan Budidaya Laut Ambon </t>
  </si>
  <si>
    <t>I Gede Eka Saputra</t>
  </si>
  <si>
    <t xml:space="preserve">triananovita2811@gmail.com </t>
  </si>
  <si>
    <t>Rohana</t>
  </si>
  <si>
    <t>085806619090</t>
  </si>
  <si>
    <t>SD N 1 Sembalun Lawang</t>
  </si>
  <si>
    <t>saipulbahri.spd@gmail.com</t>
  </si>
  <si>
    <t>-8.653649464175912</t>
  </si>
  <si>
    <t>087765093344</t>
  </si>
  <si>
    <t xml:space="preserve"> 115.22497845340231</t>
  </si>
  <si>
    <t>116.53610384268534</t>
  </si>
  <si>
    <t>-8.367967151715044</t>
  </si>
  <si>
    <t>Anak Agung Ayu Putriningsih, S.Si., M.Si.</t>
  </si>
  <si>
    <t>ARINI, S.Si.</t>
  </si>
  <si>
    <t>Zurriati</t>
  </si>
  <si>
    <t>SMA Negeri 8 Denpasar</t>
  </si>
  <si>
    <t xml:space="preserve">Dinas Ketahanan Pangan dan Pertanian </t>
  </si>
  <si>
    <t>SDN 1 SAJANG</t>
  </si>
  <si>
    <t>ariniarini0203@gmail.com</t>
  </si>
  <si>
    <t>-8.598265934675592</t>
  </si>
  <si>
    <t>abdigunawan79@gmail.com</t>
  </si>
  <si>
    <t xml:space="preserve"> 115.22322443805727</t>
  </si>
  <si>
    <t>085788562878</t>
  </si>
  <si>
    <t>081779683585</t>
  </si>
  <si>
    <t>116.49623193899383</t>
  </si>
  <si>
    <t>Uswatun Hasanah</t>
  </si>
  <si>
    <t xml:space="preserve">-8.321197221682235 </t>
  </si>
  <si>
    <t>SMK Negeri 2 Denpasar</t>
  </si>
  <si>
    <t>MUHAMMAD AGUS HENDRIAWAN</t>
  </si>
  <si>
    <t>TRI HARTANTO</t>
  </si>
  <si>
    <t>-8.703076701254771</t>
  </si>
  <si>
    <t xml:space="preserve"> 115.22925753805886</t>
  </si>
  <si>
    <t>SMP NEGERI SATU ATAP 1 SEMBALUN</t>
  </si>
  <si>
    <t>SMK MANDIRI 1 PANONGAN</t>
  </si>
  <si>
    <t>nurfiantopangidung@gmail.com</t>
  </si>
  <si>
    <t>trihartanto137@gmail.com</t>
  </si>
  <si>
    <t>085218047100</t>
  </si>
  <si>
    <t>Anak Agung Gek Indah Ani, S.Pd.</t>
  </si>
  <si>
    <t>116.48349398027551</t>
  </si>
  <si>
    <t>088214753266</t>
  </si>
  <si>
    <t>-8.298291895661313</t>
  </si>
  <si>
    <t>SMK Negeri 3 Denpasar</t>
  </si>
  <si>
    <t>106.54682552076645</t>
  </si>
  <si>
    <t>-6.2861564407857395</t>
  </si>
  <si>
    <t>-8.700437462395481</t>
  </si>
  <si>
    <t>Saipul Bahri, S.Pd.</t>
  </si>
  <si>
    <t xml:space="preserve"> 115.25380289387861</t>
  </si>
  <si>
    <t>SDN 2 Bilok Petung</t>
  </si>
  <si>
    <t>Dr. Mustika Tripatmasari, S.P., M.Si.</t>
  </si>
  <si>
    <t>cory.wulan@gmail.com</t>
  </si>
  <si>
    <t>Kadek Ria Mariska Antari, S.Pd.</t>
  </si>
  <si>
    <t>085337909110</t>
  </si>
  <si>
    <t xml:space="preserve"> 116.494794308304</t>
  </si>
  <si>
    <t>SMK Negeri 1 Denpasar</t>
  </si>
  <si>
    <t>-8.29183247481063</t>
  </si>
  <si>
    <t>mustikatripatmasari@trunojoyo.ac.id</t>
  </si>
  <si>
    <t>081331500629</t>
  </si>
  <si>
    <t>-8.637696634236326</t>
  </si>
  <si>
    <t xml:space="preserve"> 115.20728508038579</t>
  </si>
  <si>
    <t>112.72302445103016</t>
  </si>
  <si>
    <t>-7.128179059951716</t>
  </si>
  <si>
    <t>SULHAN</t>
  </si>
  <si>
    <t>Ni Putu Sri Agustina Dewi</t>
  </si>
  <si>
    <t>SD Negeri 3 Sembalun Bumbung</t>
  </si>
  <si>
    <t>SMK Negeri 7 Denpasar</t>
  </si>
  <si>
    <t>gkusumah73@gmail.com</t>
  </si>
  <si>
    <t>Narulitta Ely, S.Pi M.Si.</t>
  </si>
  <si>
    <t>087818768052</t>
  </si>
  <si>
    <t>-8.704712607589348</t>
  </si>
  <si>
    <t xml:space="preserve"> 116.54395389481418</t>
  </si>
  <si>
    <t>-8.388779495005775</t>
  </si>
  <si>
    <t xml:space="preserve"> 115.18634689758332</t>
  </si>
  <si>
    <t>narulittaely001@gmail.com</t>
  </si>
  <si>
    <t>081343014773</t>
  </si>
  <si>
    <t>ERNAWATY YULIANA</t>
  </si>
  <si>
    <t>Rahmat Alfan Salsabil</t>
  </si>
  <si>
    <t>SLB Negeri1 Denpasar</t>
  </si>
  <si>
    <t>SDN 2 Sembalalun Lawang</t>
  </si>
  <si>
    <t>jerome.menale@gmail.com</t>
  </si>
  <si>
    <t>081917991528</t>
  </si>
  <si>
    <t>-8.67299826223399</t>
  </si>
  <si>
    <t>Dr. Risnawati, SP., MSi.</t>
  </si>
  <si>
    <t>116.53470047576253</t>
  </si>
  <si>
    <t xml:space="preserve"> 115.21705743805843</t>
  </si>
  <si>
    <t xml:space="preserve">-8.369143902102744 </t>
  </si>
  <si>
    <t>Gunadarma University</t>
  </si>
  <si>
    <t>risnawati@staff.gunadarma.ac.id</t>
  </si>
  <si>
    <t>Putu Diah Pramesthi, S.Pd</t>
  </si>
  <si>
    <t>087889352267</t>
  </si>
  <si>
    <t>Sukirman</t>
  </si>
  <si>
    <t>SD Negeri 12 Dauh Puri</t>
  </si>
  <si>
    <t>106.8331760348465</t>
  </si>
  <si>
    <t>-6.368509796828404</t>
  </si>
  <si>
    <t>-8.676333470260783</t>
  </si>
  <si>
    <t>Balai GTK Provinsi NTB</t>
  </si>
  <si>
    <t xml:space="preserve"> 115.20504114784579</t>
  </si>
  <si>
    <t>mayasinta77@gmail.com</t>
  </si>
  <si>
    <t>085716628607</t>
  </si>
  <si>
    <t>Yusman A.Md.</t>
  </si>
  <si>
    <t>116.09804933929608</t>
  </si>
  <si>
    <t>-8.616825758985827</t>
  </si>
  <si>
    <t>Dkpp Pertanian</t>
  </si>
  <si>
    <t>Yusman1277@mail.com</t>
  </si>
  <si>
    <t>082282710685</t>
  </si>
  <si>
    <t>Hardipa,S.Pd</t>
  </si>
  <si>
    <t>106.81390438707793</t>
  </si>
  <si>
    <t>-6.635428707911775</t>
  </si>
  <si>
    <t>SDN 2 Sembalun bumbung</t>
  </si>
  <si>
    <t>srahayu.krb@gmail.com</t>
  </si>
  <si>
    <t>085921357517</t>
  </si>
  <si>
    <t>116.54230395804632</t>
  </si>
  <si>
    <t>MELKIAS PAULUS LAWARI, A.Md.</t>
  </si>
  <si>
    <t xml:space="preserve">-8.389287084792779 </t>
  </si>
  <si>
    <t>SPPMHK SORONG</t>
  </si>
  <si>
    <t>melkiaspaluslawar@gmail.com</t>
  </si>
  <si>
    <t>Ertha Relian, S.Pd</t>
  </si>
  <si>
    <t>089525676581</t>
  </si>
  <si>
    <t>SD NEGERI 3 BILOK PETUNG</t>
  </si>
  <si>
    <t>131.2551564559596</t>
  </si>
  <si>
    <t>ambar201477@gmail.com</t>
  </si>
  <si>
    <t>-0.878294415709813</t>
  </si>
  <si>
    <t>085338565841</t>
  </si>
  <si>
    <t>116.48322451015657</t>
  </si>
  <si>
    <t xml:space="preserve">-8.260411553667744 </t>
  </si>
  <si>
    <t>Dr. Catur Wasonowati, SP MSi.</t>
  </si>
  <si>
    <t>SUHARTATI DAMSI,SPd</t>
  </si>
  <si>
    <t>caturwasonowati@gmail.com</t>
  </si>
  <si>
    <t xml:space="preserve">SMPN 1 Sembalun </t>
  </si>
  <si>
    <t>mhdrindizulfahrie@gmail.com</t>
  </si>
  <si>
    <t>081230102598</t>
  </si>
  <si>
    <t>081907053388</t>
  </si>
  <si>
    <t>116.52873848317542</t>
  </si>
  <si>
    <t xml:space="preserve">-8.359650891049077 </t>
  </si>
  <si>
    <t>ENDANG KUSPIAN,S.Pd</t>
  </si>
  <si>
    <t>Juni La Djumat</t>
  </si>
  <si>
    <t>SDN 1 SEMBALUN TIMBA GADING</t>
  </si>
  <si>
    <t>Universitas Darussalam Ambon</t>
  </si>
  <si>
    <t>yuni.unidar@gmail.com</t>
  </si>
  <si>
    <t>feny_wolayan@unsrat.ac.id</t>
  </si>
  <si>
    <t>087854732960</t>
  </si>
  <si>
    <t>08114781705</t>
  </si>
  <si>
    <t>116.57899810261401</t>
  </si>
  <si>
    <t>128.33302478526178</t>
  </si>
  <si>
    <t>-8.37379528584414</t>
  </si>
  <si>
    <t>-3.5997702738307953</t>
  </si>
  <si>
    <t>Ibaiturohman</t>
  </si>
  <si>
    <t>Dr. Dede J. Sudrajat</t>
  </si>
  <si>
    <t xml:space="preserve">SMP N 2 SEMBALUN </t>
  </si>
  <si>
    <t>rismawatirazak@sekolahathirah.sch.id</t>
  </si>
  <si>
    <t>087743301100</t>
  </si>
  <si>
    <t>djsudrajatbtp@yahoo.com</t>
  </si>
  <si>
    <t xml:space="preserve"> 116.54195143714186</t>
  </si>
  <si>
    <t>-8.392710743230417</t>
  </si>
  <si>
    <t>081311129047</t>
  </si>
  <si>
    <t>RESTI HAYATUNNISA’</t>
  </si>
  <si>
    <t>SDN 3 SAJANG</t>
  </si>
  <si>
    <t>rani.khoerunnisa@upi.edu</t>
  </si>
  <si>
    <t>Yusuf Sigit Ahmad Fauzan, S.Hut, M.Si.</t>
  </si>
  <si>
    <t>081939260385</t>
  </si>
  <si>
    <t>116.49015904877872</t>
  </si>
  <si>
    <t>Fakultas Kehutanan IPB University</t>
  </si>
  <si>
    <t xml:space="preserve">-8.317586140131004 </t>
  </si>
  <si>
    <t>yusuffauzan@apps.ipb.ac.id</t>
  </si>
  <si>
    <t>085710971902</t>
  </si>
  <si>
    <t>Ari Tentrem Handayani</t>
  </si>
  <si>
    <t>106.7289087367529</t>
  </si>
  <si>
    <t>-6.5571205751196375</t>
  </si>
  <si>
    <t>SMKPP Negeri Mataram</t>
  </si>
  <si>
    <t>syafrizaldaffa0@gmail.com</t>
  </si>
  <si>
    <t>081805283172</t>
  </si>
  <si>
    <t>116.1635910813259</t>
  </si>
  <si>
    <t>Rachman Teguh Sukma Julio, S.Pd.Gr.</t>
  </si>
  <si>
    <t xml:space="preserve">-8.56601775354773 </t>
  </si>
  <si>
    <t>Sugiarta,S.Pi.,M.Pd.M.Si</t>
  </si>
  <si>
    <t>106.92917980962537</t>
  </si>
  <si>
    <t>novasetiawan1811@gmail.com</t>
  </si>
  <si>
    <t>-6.219167630857241</t>
  </si>
  <si>
    <t>081246520943</t>
  </si>
  <si>
    <t>Windi Mose</t>
  </si>
  <si>
    <t>Universitas Pattimura</t>
  </si>
  <si>
    <t>windimose@gmail.com</t>
  </si>
  <si>
    <t>SMKPPN Mataram</t>
  </si>
  <si>
    <t>085213120792</t>
  </si>
  <si>
    <t>128.19565412431797</t>
  </si>
  <si>
    <t>116.16364472550678</t>
  </si>
  <si>
    <t>-3.6545411656771347</t>
  </si>
  <si>
    <t xml:space="preserve">-8.566070799316936 </t>
  </si>
  <si>
    <t>Kurratul Aini, S.P., M.Si.</t>
  </si>
  <si>
    <t>Sri Nopitasari, M.Sc.</t>
  </si>
  <si>
    <t xml:space="preserve">SMKPP NEGERI MATARAM </t>
  </si>
  <si>
    <t>IPB</t>
  </si>
  <si>
    <t>nopitasari.sri@gmail.com</t>
  </si>
  <si>
    <t>087865122128</t>
  </si>
  <si>
    <t>116.16363399667061</t>
  </si>
  <si>
    <t xml:space="preserve">-8.566038971856303 </t>
  </si>
  <si>
    <t>085310041481</t>
  </si>
  <si>
    <t>RINI</t>
  </si>
  <si>
    <t>sin.polnaya@gmail.com</t>
  </si>
  <si>
    <t>Vincentius F D Moningka</t>
  </si>
  <si>
    <t>085337006202</t>
  </si>
  <si>
    <t>116.1635803524897</t>
  </si>
  <si>
    <t>Kementerian Kelautan dan Perikanan</t>
  </si>
  <si>
    <t xml:space="preserve">-8.565975316927048 </t>
  </si>
  <si>
    <t>vmofficial1985@gmail.com</t>
  </si>
  <si>
    <t>082248363944</t>
  </si>
  <si>
    <t>Linda Puspita Dewi</t>
  </si>
  <si>
    <t>106.83247763417002</t>
  </si>
  <si>
    <t>-6.179330627295641</t>
  </si>
  <si>
    <t>nugrahasaleh1993@gmail.com</t>
  </si>
  <si>
    <t>081917193702</t>
  </si>
  <si>
    <t xml:space="preserve"> 116.16352670830882</t>
  </si>
  <si>
    <t>-8.566049581010144</t>
  </si>
  <si>
    <t>Furqonnudin Zulkaisi</t>
  </si>
  <si>
    <t>SMPN 179 jakarta</t>
  </si>
  <si>
    <t>furqonnudinzulkaisi@gmail.com</t>
  </si>
  <si>
    <t>Dede ang sakti, S.P.</t>
  </si>
  <si>
    <t>089670964050</t>
  </si>
  <si>
    <t>gilangridho1501@gmail.com</t>
  </si>
  <si>
    <t>106.85235366510834</t>
  </si>
  <si>
    <t>081703696672</t>
  </si>
  <si>
    <t>-6.331138591144899</t>
  </si>
  <si>
    <t>-8.56611323592697</t>
  </si>
  <si>
    <t>Edi Syahputra, S.Pd.</t>
  </si>
  <si>
    <t>Dede Ang Sakti, S.P</t>
  </si>
  <si>
    <t xml:space="preserve">SMP Negeri 4 Rangsang </t>
  </si>
  <si>
    <t>anggitarahmi.id@gmail.com</t>
  </si>
  <si>
    <t>syahputraedi39900@gmail.com</t>
  </si>
  <si>
    <t xml:space="preserve"> 116.16351597947265</t>
  </si>
  <si>
    <t>081271143956</t>
  </si>
  <si>
    <t>-8.56600714439301</t>
  </si>
  <si>
    <t>102.89326792043023</t>
  </si>
  <si>
    <t>1.1209555577249364</t>
  </si>
  <si>
    <t>Saipul Bahri,S.Pd.</t>
  </si>
  <si>
    <t>Ek Vinay Sayaraj</t>
  </si>
  <si>
    <t>marthinilesilolo51796@gmail.com</t>
  </si>
  <si>
    <t>Institute of ecology and biotechnology</t>
  </si>
  <si>
    <t>116.49484795248489</t>
  </si>
  <si>
    <t>ekvinay@gmail.com</t>
  </si>
  <si>
    <t xml:space="preserve">-8.29182185813007 </t>
  </si>
  <si>
    <t>+8562022326999</t>
  </si>
  <si>
    <t>102.58349783641219</t>
  </si>
  <si>
    <t>Abdi Gunawan, S.P., M.P.</t>
  </si>
  <si>
    <t>17.99889708123567</t>
  </si>
  <si>
    <t>mhdfadli96@gmail.com</t>
  </si>
  <si>
    <t>081805293228</t>
  </si>
  <si>
    <t>Puji Astuti, S.Si.</t>
  </si>
  <si>
    <t>116.16346233529174</t>
  </si>
  <si>
    <t>UIN Syarif Hidayatullah Jakarta</t>
  </si>
  <si>
    <t xml:space="preserve">-8.56600714439301 </t>
  </si>
  <si>
    <t>pujiastuti2303@gmail.com</t>
  </si>
  <si>
    <t>08568782422</t>
  </si>
  <si>
    <t xml:space="preserve">Nurfianto Giar Pangidung </t>
  </si>
  <si>
    <t>106.75613083893032</t>
  </si>
  <si>
    <t>Mr.</t>
  </si>
  <si>
    <t>-6.306586291028019</t>
  </si>
  <si>
    <t xml:space="preserve">Individual/General Public </t>
  </si>
  <si>
    <t>juhaeti.kng1980@gmail.com</t>
  </si>
  <si>
    <t>081331981281</t>
  </si>
  <si>
    <t>Lina Budiarti</t>
  </si>
  <si>
    <t>Cory Wulan</t>
  </si>
  <si>
    <t>linabudiarti@polinela.ac.id</t>
  </si>
  <si>
    <t>Ms.</t>
  </si>
  <si>
    <t>Jambi University</t>
  </si>
  <si>
    <t>087796293387</t>
  </si>
  <si>
    <t>cicitnongkong@gmail.com</t>
  </si>
  <si>
    <t>105.2332632543513</t>
  </si>
  <si>
    <t>081367758378</t>
  </si>
  <si>
    <t>-5.358881575955795</t>
  </si>
  <si>
    <t>103.51812496542256</t>
  </si>
  <si>
    <t>-1.612338428403703</t>
  </si>
  <si>
    <t>Muhammad Satria Diin</t>
  </si>
  <si>
    <t xml:space="preserve">Gunardi Kusumah </t>
  </si>
  <si>
    <t xml:space="preserve">Kemenko Infra </t>
  </si>
  <si>
    <t>diinsatria@gmail.com</t>
  </si>
  <si>
    <t>081818756414</t>
  </si>
  <si>
    <t>081284482040</t>
  </si>
  <si>
    <t>106.82277574761562</t>
  </si>
  <si>
    <t>-6.1848457001501025</t>
  </si>
  <si>
    <t>Riska Sukmawawati, S.P., M.Si.</t>
  </si>
  <si>
    <t>Jerome D. Meñale</t>
  </si>
  <si>
    <t>Universitas riyadlul ulum tasikmalaya</t>
  </si>
  <si>
    <t>Department of Education</t>
  </si>
  <si>
    <t>sukmawatiriska1@gmail.com</t>
  </si>
  <si>
    <t>09154140306</t>
  </si>
  <si>
    <t>089506401646</t>
  </si>
  <si>
    <t xml:space="preserve"> 108.2578109357481</t>
  </si>
  <si>
    <t>-7.3436688735204525</t>
  </si>
  <si>
    <t>Masna Maya Sinta</t>
  </si>
  <si>
    <t>Nindy Sevirasari, S.P., M.Sc.</t>
  </si>
  <si>
    <t>IOPRI</t>
  </si>
  <si>
    <t>UNSOED</t>
  </si>
  <si>
    <t>nindy.sevirasari@unsoed.ac.id</t>
  </si>
  <si>
    <t>nukhbatulbidayatihaka@radenintan.ac.id</t>
  </si>
  <si>
    <t>085877484200</t>
  </si>
  <si>
    <t>109.25362094984418</t>
  </si>
  <si>
    <t>+6285643253730</t>
  </si>
  <si>
    <t>-7.408422927612899</t>
  </si>
  <si>
    <t>Nur Asiyah Yusuf</t>
  </si>
  <si>
    <t>Universitas Hasanuddin</t>
  </si>
  <si>
    <t>nurasyahyusuf123@gmail.com</t>
  </si>
  <si>
    <t xml:space="preserve">Sri Rahayu </t>
  </si>
  <si>
    <t>Dr.</t>
  </si>
  <si>
    <t>081342219019</t>
  </si>
  <si>
    <t>119.48807991470824</t>
  </si>
  <si>
    <t>mirzamarditasari73@guru.smk.belajar.id</t>
  </si>
  <si>
    <t>-5.134220518609675</t>
  </si>
  <si>
    <t>+6281310515057</t>
  </si>
  <si>
    <t>NOVELINA</t>
  </si>
  <si>
    <t>Ambar Yuswi Perdani</t>
  </si>
  <si>
    <t>Andalas University</t>
  </si>
  <si>
    <t>novelinasutanto@yahoo.com</t>
  </si>
  <si>
    <t>ajmatatula@gmail.com</t>
  </si>
  <si>
    <t>081293226955</t>
  </si>
  <si>
    <t>081367367796</t>
  </si>
  <si>
    <t>Ambar Yuswi PerdaniI</t>
  </si>
  <si>
    <t>M. Rindi Zulfahri</t>
  </si>
  <si>
    <t>independent</t>
  </si>
  <si>
    <t>amba005@brin.go.id</t>
  </si>
  <si>
    <t>widianirmalasari47824@gmail.com</t>
  </si>
  <si>
    <t>+6285261966582</t>
  </si>
  <si>
    <t>R. NINUK HERLINA, MS.</t>
  </si>
  <si>
    <t>Fenny R Wolayan</t>
  </si>
  <si>
    <t>FAKULTAS BIO-INDUSTRI PERTANIAN DAN KEHUTANAN, UNIVERSITAS BRAWIJAYA</t>
  </si>
  <si>
    <t>ninuk.fp@ub.ac.id</t>
  </si>
  <si>
    <t>Sam Ratulangi University</t>
  </si>
  <si>
    <t>081334707170</t>
  </si>
  <si>
    <t>sriindrayanisri@apps.ipb.ac.id</t>
  </si>
  <si>
    <t>Sri Dewi</t>
  </si>
  <si>
    <t>112.61195772444155</t>
  </si>
  <si>
    <t>085240365716</t>
  </si>
  <si>
    <t>-7.955133601533007</t>
  </si>
  <si>
    <t>SMP Negeri 1 Cikakak</t>
  </si>
  <si>
    <t>124.82839211715145</t>
  </si>
  <si>
    <t>sridewikembar212@gmail.com</t>
  </si>
  <si>
    <t>1.4583268993580123</t>
  </si>
  <si>
    <t>085793651666</t>
  </si>
  <si>
    <t>Zulfa Ulinnuha, S.P., M.Si.</t>
  </si>
  <si>
    <t>106.5025036678075</t>
  </si>
  <si>
    <t xml:space="preserve">-6.957199446476908 </t>
  </si>
  <si>
    <t>zulfaulinnuha@unsoed.ac.id</t>
  </si>
  <si>
    <t>Rismawati Razak</t>
  </si>
  <si>
    <t>085747770533</t>
  </si>
  <si>
    <t>MAHMUD JULIAMAN</t>
  </si>
  <si>
    <t>SMAS Islam Athirah Makassar</t>
  </si>
  <si>
    <t>SMPN 1 CISOLOK</t>
  </si>
  <si>
    <t>amud.mj@gmail.com</t>
  </si>
  <si>
    <t>085255620920</t>
  </si>
  <si>
    <t>085624000419</t>
  </si>
  <si>
    <t>119.41006323338182</t>
  </si>
  <si>
    <t>106.45422992362658</t>
  </si>
  <si>
    <t>Dr. Ir. Saidah, MP.</t>
  </si>
  <si>
    <t>-5.135172585652166</t>
  </si>
  <si>
    <t xml:space="preserve">-6.953977745511242 </t>
  </si>
  <si>
    <t>saidah.labalado67@gmail.com</t>
  </si>
  <si>
    <t>Ruswandi</t>
  </si>
  <si>
    <t>Rani Siti Khoerunnisa</t>
  </si>
  <si>
    <t>082112391313</t>
  </si>
  <si>
    <t>SMPN 1 Surade</t>
  </si>
  <si>
    <t>rusw1986@gmail.com</t>
  </si>
  <si>
    <t>085759257338</t>
  </si>
  <si>
    <t>Universitas Pendidikan Indonesia</t>
  </si>
  <si>
    <t>106.56847562363266</t>
  </si>
  <si>
    <t xml:space="preserve">-7.338521891739284 </t>
  </si>
  <si>
    <t>korlina64@gmail.com</t>
  </si>
  <si>
    <t>Sinar Suryawati</t>
  </si>
  <si>
    <t>081223235387</t>
  </si>
  <si>
    <t>Dewi Sartika</t>
  </si>
  <si>
    <t>Universitas Trunojoyo Madura</t>
  </si>
  <si>
    <t>107.5920419636799</t>
  </si>
  <si>
    <t>sinarsuryawati@trunojoyo.ac.id</t>
  </si>
  <si>
    <t>-6.861273919436173</t>
  </si>
  <si>
    <t>SMP Negeri 1 Ciemas</t>
  </si>
  <si>
    <t>desartika31@gmail.com</t>
  </si>
  <si>
    <t>081931540250</t>
  </si>
  <si>
    <t>085863167866</t>
  </si>
  <si>
    <t>106.52088626781187</t>
  </si>
  <si>
    <t xml:space="preserve">-7.236865595352067 </t>
  </si>
  <si>
    <t>Syafrizal daffa hasibuan</t>
  </si>
  <si>
    <t xml:space="preserve">Devin Haryati </t>
  </si>
  <si>
    <t>Afrima Sari, SP., MP.</t>
  </si>
  <si>
    <t>Sdn 3 gunung guruh</t>
  </si>
  <si>
    <t>afrimaeshal@gmail.com</t>
  </si>
  <si>
    <t>Dinas pertanian</t>
  </si>
  <si>
    <t>devinharyanti82@gmail.com</t>
  </si>
  <si>
    <t>sitimakhmudah146@gmail.com</t>
  </si>
  <si>
    <t>082384516951</t>
  </si>
  <si>
    <t>085721035365</t>
  </si>
  <si>
    <t>085763466916</t>
  </si>
  <si>
    <t xml:space="preserve"> 106.90539691198838</t>
  </si>
  <si>
    <t>-6.953862645812244</t>
  </si>
  <si>
    <t>Abdul Rokib</t>
  </si>
  <si>
    <t>Sutami, S.P., M.P.</t>
  </si>
  <si>
    <t xml:space="preserve">SDN 05 KARANGTENGAH </t>
  </si>
  <si>
    <t>abdulrokib821@gmail.com</t>
  </si>
  <si>
    <t>tammysutami@gmail.com</t>
  </si>
  <si>
    <t>085794211518</t>
  </si>
  <si>
    <t>NOVA SETIAWAN</t>
  </si>
  <si>
    <t>106.80256990475512</t>
  </si>
  <si>
    <t xml:space="preserve">-6.8740383595837855 </t>
  </si>
  <si>
    <t>085236777372</t>
  </si>
  <si>
    <t>DINAS PERTANIAN DAN KETAHANAN PANGAN PROVINSI SUMATERA UTARA</t>
  </si>
  <si>
    <t xml:space="preserve">Neneng Meliyani, S.Pd., M.Pd. </t>
  </si>
  <si>
    <t>SD Negeri 3 Nagrak</t>
  </si>
  <si>
    <t>nenengmeliyani39@guru.sd.belajar.id</t>
  </si>
  <si>
    <t>+62 877-8659-4458</t>
  </si>
  <si>
    <t>Dr. Isna Tustiyani, S.P., M.Si.</t>
  </si>
  <si>
    <t>082310943326</t>
  </si>
  <si>
    <t>106.80251314504706</t>
  </si>
  <si>
    <t>98.70325030561217</t>
  </si>
  <si>
    <t>Universitas Tidar</t>
  </si>
  <si>
    <t xml:space="preserve">-6.860009489714626 </t>
  </si>
  <si>
    <t>3.5960664836732956</t>
  </si>
  <si>
    <t>isnatustiyani@gmail.com</t>
  </si>
  <si>
    <t>085943492468</t>
  </si>
  <si>
    <t>ASEP RUMINDANG SRIWIDARMA, S.Pd</t>
  </si>
  <si>
    <t>110.21688696951021</t>
  </si>
  <si>
    <t>SMP NEGERI 1 SIMPENAN</t>
  </si>
  <si>
    <t>-7.459794466498259</t>
  </si>
  <si>
    <t>aseprumindangs@gmail.com</t>
  </si>
  <si>
    <t>Ni Wayan Sri Suliartini</t>
  </si>
  <si>
    <t>085721053871</t>
  </si>
  <si>
    <t xml:space="preserve"> 106.56876766595538</t>
  </si>
  <si>
    <t>-7.027099424590818</t>
  </si>
  <si>
    <t>Eggie Febrianto Ginanjar, Ph.D.</t>
  </si>
  <si>
    <t>Indonesian Oil Palm Research Institute (IOPRI)</t>
  </si>
  <si>
    <t>M. Agung Rahayu</t>
  </si>
  <si>
    <t>eggiefginanjar19@gmail.com</t>
  </si>
  <si>
    <t xml:space="preserve">SD Negeri Wangunreja </t>
  </si>
  <si>
    <t>085747840298</t>
  </si>
  <si>
    <t>agungrahayu8498@gmail.com</t>
  </si>
  <si>
    <t>98.68794341601607</t>
  </si>
  <si>
    <t>081563600167</t>
  </si>
  <si>
    <t>116.09222473466065</t>
  </si>
  <si>
    <t>3.556521794335508</t>
  </si>
  <si>
    <t>106.88622472362704</t>
  </si>
  <si>
    <t xml:space="preserve">-6.98174676251616 </t>
  </si>
  <si>
    <t>-8.587206809651892</t>
  </si>
  <si>
    <t>Dr. Armansyah.SP.MP.</t>
  </si>
  <si>
    <t>DICKY DZULKIFLI, S.Pd</t>
  </si>
  <si>
    <t>SLBN MUTIARA BAHARI MANDIRI</t>
  </si>
  <si>
    <t>Catur Wasonowati</t>
  </si>
  <si>
    <t>dicky.canzha@gmail.com</t>
  </si>
  <si>
    <t>armansyah@agr.unand.ac.id</t>
  </si>
  <si>
    <t>085723800165</t>
  </si>
  <si>
    <t>106.5447748949975</t>
  </si>
  <si>
    <t>082283591378</t>
  </si>
  <si>
    <t xml:space="preserve">-7.0053562899581605 </t>
  </si>
  <si>
    <t>nizarhn48@gmail.com</t>
  </si>
  <si>
    <t>komarudin</t>
  </si>
  <si>
    <t xml:space="preserve">SMA NEGERI 1 CIKAKAK </t>
  </si>
  <si>
    <t>Prof. Dr.sc.agr. Ir. Jamsari, MP.</t>
  </si>
  <si>
    <t>komarudin.659@guru.sma.belajar.id</t>
  </si>
  <si>
    <t>112.72310072492702</t>
  </si>
  <si>
    <t>08139538274</t>
  </si>
  <si>
    <t>-7.128120694168729</t>
  </si>
  <si>
    <t>106.49789345616931</t>
  </si>
  <si>
    <t>jamsari862020@gmail.com</t>
  </si>
  <si>
    <t xml:space="preserve">-6.958323447395851 </t>
  </si>
  <si>
    <t>08126630571</t>
  </si>
  <si>
    <t>CUCU PATMAWATI RIDWAN,SPd</t>
  </si>
  <si>
    <t>Ir.Fransin Polnaya,MP</t>
  </si>
  <si>
    <t>SDN SEMPURCAGAK</t>
  </si>
  <si>
    <t>Others:</t>
  </si>
  <si>
    <t>cucuridwan63@guru.sd.belajar.id</t>
  </si>
  <si>
    <t>085797510439</t>
  </si>
  <si>
    <t>Teguh Saputra</t>
  </si>
  <si>
    <t xml:space="preserve"> 106.98703939479083</t>
  </si>
  <si>
    <t>Fakultas Pertanian Universitas Pattimura</t>
  </si>
  <si>
    <t>-6.984636557964742</t>
  </si>
  <si>
    <t xml:space="preserve">Universitas Andalas </t>
  </si>
  <si>
    <t>teguhsaputra3021@gmail.com</t>
  </si>
  <si>
    <t>Sutirta</t>
  </si>
  <si>
    <t>081240252844</t>
  </si>
  <si>
    <t>128.19381983749733</t>
  </si>
  <si>
    <t>089529948281</t>
  </si>
  <si>
    <t>SMAN 1 Cisolok</t>
  </si>
  <si>
    <t>sutirta092@gmail.com</t>
  </si>
  <si>
    <t>-3.6528614650316267</t>
  </si>
  <si>
    <t>085793887515</t>
  </si>
  <si>
    <t>106.4706676947901</t>
  </si>
  <si>
    <t xml:space="preserve">-6.93326008474166 </t>
  </si>
  <si>
    <t>Muhammad Saleh Nugraha</t>
  </si>
  <si>
    <t>SMKN 8 Semarang</t>
  </si>
  <si>
    <t>Rahma Maryam Shalihah</t>
  </si>
  <si>
    <t>Upt. Benih Induk Hortikultura Sumatera Utara</t>
  </si>
  <si>
    <t>SMA NEGERI 1 CIKAKAK</t>
  </si>
  <si>
    <t>putugedeputradarmadi@gmail.com</t>
  </si>
  <si>
    <t>maryamrahma040896@gmail.com</t>
  </si>
  <si>
    <t>110.41997759372926</t>
  </si>
  <si>
    <t>083839394559</t>
  </si>
  <si>
    <t>085795373078</t>
  </si>
  <si>
    <t>-6.99040809740279</t>
  </si>
  <si>
    <t>98.67906406342938</t>
  </si>
  <si>
    <t xml:space="preserve">-6.958334097208733 </t>
  </si>
  <si>
    <t>3.5430218639911097</t>
  </si>
  <si>
    <t>Ir. Eli Korlina E, MSi.</t>
  </si>
  <si>
    <t xml:space="preserve">Lia Astuti </t>
  </si>
  <si>
    <t xml:space="preserve">SMA Negeri 1 Cikakak </t>
  </si>
  <si>
    <t>Gilang Ridho Maulana</t>
  </si>
  <si>
    <t>liaastuti0706@gmail.com</t>
  </si>
  <si>
    <t>085724698707</t>
  </si>
  <si>
    <t>106.49792564267786</t>
  </si>
  <si>
    <t xml:space="preserve">-6.9583873462694905 </t>
  </si>
  <si>
    <t>UPT BENIH INDUK HORTIKULTURA SUMATERA UTARA</t>
  </si>
  <si>
    <t>081317011440</t>
  </si>
  <si>
    <t>pujiharsono1967@gmail.com</t>
  </si>
  <si>
    <t xml:space="preserve">Siti Sarah Salkia </t>
  </si>
  <si>
    <t>081360605809</t>
  </si>
  <si>
    <t>SDN 1 Pasirhalang</t>
  </si>
  <si>
    <t>sasarahsal@gmail.com</t>
  </si>
  <si>
    <t>085813318357</t>
  </si>
  <si>
    <t xml:space="preserve"> 106.96910391013442</t>
  </si>
  <si>
    <t>Devit Purwoko, S. P., M.Si.</t>
  </si>
  <si>
    <t>-6.917055278191081</t>
  </si>
  <si>
    <t>devitpurwoko@apps.ipb.ac.id</t>
  </si>
  <si>
    <t>Anggita Rahmi Hafsari</t>
  </si>
  <si>
    <t>Dian Mardiansyah, S. Pd.</t>
  </si>
  <si>
    <t>085691362335</t>
  </si>
  <si>
    <t xml:space="preserve">SMP NEGERI 2 CISOLOK </t>
  </si>
  <si>
    <t>d2.dianmardiansyah@gmail.com</t>
  </si>
  <si>
    <t>UIN Sunan Gunung Djati Bandung</t>
  </si>
  <si>
    <t>085864772700</t>
  </si>
  <si>
    <t>106.4473368217718</t>
  </si>
  <si>
    <t xml:space="preserve">-6.854598685207957 </t>
  </si>
  <si>
    <t>081284250005</t>
  </si>
  <si>
    <t>Bella Kinanti, S.P., M.Sc.</t>
  </si>
  <si>
    <t>107.71774435733587</t>
  </si>
  <si>
    <t>Yanti Sopianti, S.Pd, Gr</t>
  </si>
  <si>
    <t>-6.931069169410964</t>
  </si>
  <si>
    <t>University of Muhammadiyah Jakarya</t>
  </si>
  <si>
    <t xml:space="preserve">SMAS MUTIARA </t>
  </si>
  <si>
    <t>bella.kinanti@umj.ac.id</t>
  </si>
  <si>
    <t>yantisofianty87@gmail.com</t>
  </si>
  <si>
    <t>082249616719</t>
  </si>
  <si>
    <t>081770291031</t>
  </si>
  <si>
    <t>106.561940294791</t>
  </si>
  <si>
    <t>106.76722914838024</t>
  </si>
  <si>
    <t xml:space="preserve">-6.988589208791943 </t>
  </si>
  <si>
    <t>Ir. Marthini Kristina Lesilolo, MP</t>
  </si>
  <si>
    <t>-6.297518385796905</t>
  </si>
  <si>
    <t xml:space="preserve">M. Agung Rahayu </t>
  </si>
  <si>
    <t>Pattimura Univercity</t>
  </si>
  <si>
    <t>Muhammad Fathur Rahman</t>
  </si>
  <si>
    <t>ellaubaidi@gmail.com</t>
  </si>
  <si>
    <t>SMKN 1 SOJOL</t>
  </si>
  <si>
    <t>081343017721</t>
  </si>
  <si>
    <t>muhammad2848@guru.sma.belajar.id</t>
  </si>
  <si>
    <t xml:space="preserve">-6.981672217545023 </t>
  </si>
  <si>
    <t>128.19387210501378</t>
  </si>
  <si>
    <t>085241448715</t>
  </si>
  <si>
    <t>-3.6528362076921237</t>
  </si>
  <si>
    <t>120.00043704325586</t>
  </si>
  <si>
    <t>Muhsin</t>
  </si>
  <si>
    <t>0.48200798207197315</t>
  </si>
  <si>
    <t>SMA Nurul Huda</t>
  </si>
  <si>
    <t>m47589207@gmail.com</t>
  </si>
  <si>
    <t>Mhd Fadly</t>
  </si>
  <si>
    <t>085720645512</t>
  </si>
  <si>
    <t>Hannety Dea Aghny Shyfa</t>
  </si>
  <si>
    <t>106.41859683710769</t>
  </si>
  <si>
    <t xml:space="preserve">-6.262703738384363 </t>
  </si>
  <si>
    <t>Upt Bih Gedung Johor</t>
  </si>
  <si>
    <t>deahannety@apps.ipb.ac.id</t>
  </si>
  <si>
    <t>mibelar531@gmail.com</t>
  </si>
  <si>
    <t>081387740382</t>
  </si>
  <si>
    <t>081263885716</t>
  </si>
  <si>
    <t>98.67908911165371</t>
  </si>
  <si>
    <t>3.5430194101140153</t>
  </si>
  <si>
    <t>magungrahayu98@gmail.com</t>
  </si>
  <si>
    <t>Nurfianto Giar Pangidung, S.P.</t>
  </si>
  <si>
    <t xml:space="preserve">-6.981821307475414 </t>
  </si>
  <si>
    <t>Titi Juhaeti</t>
  </si>
  <si>
    <t>Drs. Joko Purwanto</t>
  </si>
  <si>
    <t>SMP Negeri 1 Palabuhanratu</t>
  </si>
  <si>
    <t>jokopurwanto42@guru.smp.belajar.id</t>
  </si>
  <si>
    <t>lukys.pamungkas@gmail.com</t>
  </si>
  <si>
    <t>0853-1279-0888</t>
  </si>
  <si>
    <t>106.55321152362716</t>
  </si>
  <si>
    <t xml:space="preserve">-6.988525261400774 </t>
  </si>
  <si>
    <t>Ikhwanul Muslim</t>
  </si>
  <si>
    <t>Dio Ramadhan</t>
  </si>
  <si>
    <t>DISBUNTANHOR PROV. SUMBAR</t>
  </si>
  <si>
    <t>ikhwanulmuslim1991@gmail.com</t>
  </si>
  <si>
    <t>SD Negeri 1 Pasirhalang</t>
  </si>
  <si>
    <t>dioramadhan234@gmail.com</t>
  </si>
  <si>
    <t>082285717873</t>
  </si>
  <si>
    <t>Diyah Purwaning P.</t>
  </si>
  <si>
    <t>085863138284</t>
  </si>
  <si>
    <t>100.42768572919904</t>
  </si>
  <si>
    <t>106.96443026456234</t>
  </si>
  <si>
    <t>-0.9520596413637659</t>
  </si>
  <si>
    <t xml:space="preserve">-6.901188775786032 </t>
  </si>
  <si>
    <t>Kementerian Kehutanan</t>
  </si>
  <si>
    <t>MOH ALDIANA</t>
  </si>
  <si>
    <t>vilmalaurientanasale@gmail.com</t>
  </si>
  <si>
    <t>Prof. Dr. Sri Rahayu</t>
  </si>
  <si>
    <t>082144279150</t>
  </si>
  <si>
    <t>SDN CISOLOK</t>
  </si>
  <si>
    <t>mohaldiana16@gmail.com</t>
  </si>
  <si>
    <t xml:space="preserve"> 106.80012551395544</t>
  </si>
  <si>
    <t>085603797417</t>
  </si>
  <si>
    <t>-6.206569018773024</t>
  </si>
  <si>
    <t>108.0484785794513</t>
  </si>
  <si>
    <t>081310515057</t>
  </si>
  <si>
    <t>I Putu Suteja, S.Pd, SD</t>
  </si>
  <si>
    <t xml:space="preserve">-7.308626601055502 </t>
  </si>
  <si>
    <t xml:space="preserve">M FUTUH WANGSA DIREZA </t>
  </si>
  <si>
    <t xml:space="preserve">TONY NORCAHYO </t>
  </si>
  <si>
    <t>SDN BAYUNG GEDE</t>
  </si>
  <si>
    <t>kadekediyana7@gmail.com</t>
  </si>
  <si>
    <t xml:space="preserve">SMK BHINA BAKTI PERTIWI </t>
  </si>
  <si>
    <t>muhamadfutuh@gmail.com</t>
  </si>
  <si>
    <t>0881037663389</t>
  </si>
  <si>
    <t>Sani Hanifah, S.P., M.P.</t>
  </si>
  <si>
    <t>085727238766</t>
  </si>
  <si>
    <t>115.3280772384492</t>
  </si>
  <si>
    <t>106.76955356780525</t>
  </si>
  <si>
    <t>akhsanakib@gmail.com</t>
  </si>
  <si>
    <t xml:space="preserve">-6.807587648463291 </t>
  </si>
  <si>
    <t>Indonesian Center for Agricultural Training Lembang</t>
  </si>
  <si>
    <t>-8.292158315655158</t>
  </si>
  <si>
    <t>saniehanif@gmail.com</t>
  </si>
  <si>
    <t>110.41996325101005</t>
  </si>
  <si>
    <t>081320751231</t>
  </si>
  <si>
    <t>107.63304286947768</t>
  </si>
  <si>
    <t>-6.990420460804912</t>
  </si>
  <si>
    <t>-6.82276670291484</t>
  </si>
  <si>
    <t>Kadek Ediyana, S.Pd.H.,M.Pd</t>
  </si>
  <si>
    <t xml:space="preserve">-7.3086585260562025 </t>
  </si>
  <si>
    <t>Marten Memet</t>
  </si>
  <si>
    <t>SDN 4 SUKAWANA</t>
  </si>
  <si>
    <t>sutejabayung@gmail.com</t>
  </si>
  <si>
    <t>Nurullita Mirna</t>
  </si>
  <si>
    <t>SMK</t>
  </si>
  <si>
    <t>087790654248</t>
  </si>
  <si>
    <t>115.35506257928809</t>
  </si>
  <si>
    <t>marzuki64@gmail.com</t>
  </si>
  <si>
    <t xml:space="preserve">SMAS ALFARDIYATUSSAADAH </t>
  </si>
  <si>
    <t>-8.217917928760851</t>
  </si>
  <si>
    <t>kianmirna98@gmail.com</t>
  </si>
  <si>
    <t>124.82842323071087</t>
  </si>
  <si>
    <t>I Wayan Terem, S.Ag</t>
  </si>
  <si>
    <t>085863404580</t>
  </si>
  <si>
    <t>1.4583175987827226</t>
  </si>
  <si>
    <t>106.53222912362686</t>
  </si>
  <si>
    <t>SDN 1 BELANTIH</t>
  </si>
  <si>
    <t xml:space="preserve">-6.975793756505571 </t>
  </si>
  <si>
    <t>putuwina86@gmail.com</t>
  </si>
  <si>
    <t>081337277079</t>
  </si>
  <si>
    <t>Priyadi, S.P., M. Si.</t>
  </si>
  <si>
    <t>115.26922259214253</t>
  </si>
  <si>
    <t>Nukhbatul Bidayati Haka, M.Pd</t>
  </si>
  <si>
    <t>-8.226201589878407</t>
  </si>
  <si>
    <t xml:space="preserve">Politeknik Negeri Lampung </t>
  </si>
  <si>
    <t>Mirda Rahayu Restari</t>
  </si>
  <si>
    <t>Priyadi@polinela.ac.id</t>
  </si>
  <si>
    <t>Uin raden intan lampung</t>
  </si>
  <si>
    <t>SMK BINA BAKTI PERTIWI</t>
  </si>
  <si>
    <t>Ni Ketut Yuliantari, S.Pd</t>
  </si>
  <si>
    <t>mrrestari@gmail.com</t>
  </si>
  <si>
    <t>08117249049</t>
  </si>
  <si>
    <t>masaunae@gmail.com</t>
  </si>
  <si>
    <t>083168112921</t>
  </si>
  <si>
    <t>105.23323815590189</t>
  </si>
  <si>
    <t>106.76942482177108</t>
  </si>
  <si>
    <t>085768309887</t>
  </si>
  <si>
    <t>SDN 3 BATUR</t>
  </si>
  <si>
    <t>-5.35887775598403</t>
  </si>
  <si>
    <t xml:space="preserve">-6.807576995267558 </t>
  </si>
  <si>
    <t>swandewi250@gmail.com</t>
  </si>
  <si>
    <t xml:space="preserve"> 105.30368313920431</t>
  </si>
  <si>
    <t>085237449244</t>
  </si>
  <si>
    <t>-5.383480803384288</t>
  </si>
  <si>
    <t>115.33029370423269</t>
  </si>
  <si>
    <t>-8.251494874450088</t>
  </si>
  <si>
    <t>Regina Ratna Wulan, S.P.</t>
  </si>
  <si>
    <t xml:space="preserve">SMAS Alfardiyatussaadah </t>
  </si>
  <si>
    <t xml:space="preserve">Ministry of Agriculture </t>
  </si>
  <si>
    <t>reginaratnawulan@gmail.com</t>
  </si>
  <si>
    <t>Putu Suseni Pitrianingsih, S.Pd.SD</t>
  </si>
  <si>
    <t>08986646633</t>
  </si>
  <si>
    <t>106.53229349664394</t>
  </si>
  <si>
    <t>SDN 1 KINTAMANI</t>
  </si>
  <si>
    <t>arini198302@gmail.com</t>
  </si>
  <si>
    <t>087762663382</t>
  </si>
  <si>
    <t>handayani.saintek@gmail.com</t>
  </si>
  <si>
    <t>115.32548386078237</t>
  </si>
  <si>
    <t>UJANG SUTANDI, SP</t>
  </si>
  <si>
    <t>-8.236825032657451</t>
  </si>
  <si>
    <t>085204868483</t>
  </si>
  <si>
    <t>SMAN 1 SIMPENAN</t>
  </si>
  <si>
    <t>Desi Triyoga Ratri, S.P.</t>
  </si>
  <si>
    <t>121.45150877484923</t>
  </si>
  <si>
    <t>ujangsutandi74@gmail.com</t>
  </si>
  <si>
    <t>I Wayan Widana, S.Pd</t>
  </si>
  <si>
    <t>085846937414</t>
  </si>
  <si>
    <t>0.9893960663500911</t>
  </si>
  <si>
    <t xml:space="preserve">SMK Negeri 8 Jember </t>
  </si>
  <si>
    <t>106.56737916780864</t>
  </si>
  <si>
    <t>desitriyoga@gmail.com</t>
  </si>
  <si>
    <t xml:space="preserve">-7.026899928018618 </t>
  </si>
  <si>
    <t>SDN MANIKLIYU</t>
  </si>
  <si>
    <t>setyasari662@gmail.com</t>
  </si>
  <si>
    <t>082334807818</t>
  </si>
  <si>
    <t>085792360540</t>
  </si>
  <si>
    <t>Sofyan marham saoji</t>
  </si>
  <si>
    <t>113.45926972870812</t>
  </si>
  <si>
    <t>Ir. Avia Jolanda Matatula,M.Si</t>
  </si>
  <si>
    <t>115.28817488961937</t>
  </si>
  <si>
    <t>-8.27754791236776</t>
  </si>
  <si>
    <t>-8.212875534389461</t>
  </si>
  <si>
    <t>SMA S MUTIARA TERPADU PALABUHAN RATU</t>
  </si>
  <si>
    <t>sofyanmarham68@gmail.com</t>
  </si>
  <si>
    <t>Pattimura University</t>
  </si>
  <si>
    <t>081573316880</t>
  </si>
  <si>
    <t>I Ketut Sarnata, S.Pd</t>
  </si>
  <si>
    <t>106.56191883711861</t>
  </si>
  <si>
    <t>Istiadzah Darmastuti</t>
  </si>
  <si>
    <t xml:space="preserve">-6.988504015784786 </t>
  </si>
  <si>
    <t>SDN SEKARDADI</t>
  </si>
  <si>
    <t>081340052929</t>
  </si>
  <si>
    <t>i9238@guru.smp.belajar.id</t>
  </si>
  <si>
    <t>93istiadzahd@gmail.com</t>
  </si>
  <si>
    <t>081353329112</t>
  </si>
  <si>
    <t>Mima Risalalloh</t>
  </si>
  <si>
    <t>115.34969339236592</t>
  </si>
  <si>
    <t>-8.311932432127968</t>
  </si>
  <si>
    <t>089525659024</t>
  </si>
  <si>
    <t>SMK TERPADU NURUL QURAN</t>
  </si>
  <si>
    <t>iccacooper11@gmail.com</t>
  </si>
  <si>
    <t>Moh. Ali, S.Pd.,M.Pd</t>
  </si>
  <si>
    <t>081313553587</t>
  </si>
  <si>
    <t>106.52444422177318</t>
  </si>
  <si>
    <t>SMPN 7 KINTAMANI</t>
  </si>
  <si>
    <t xml:space="preserve">-6.9444971406875196 </t>
  </si>
  <si>
    <t>niariasih80@guru.smp.belajar.id</t>
  </si>
  <si>
    <t>Sendi Aribi Saputra</t>
  </si>
  <si>
    <t>WIDIA MIRMALASARI</t>
  </si>
  <si>
    <t>087862000488</t>
  </si>
  <si>
    <t>Surabaya State University</t>
  </si>
  <si>
    <t>115.32677346483803</t>
  </si>
  <si>
    <t>ABDUL ROKIB, S.Pd</t>
  </si>
  <si>
    <t>-8.20927384457781</t>
  </si>
  <si>
    <t>sendiaribisaputra3104@gmail.com</t>
  </si>
  <si>
    <t>Dinas Pertanian dan Ketahanan Pangan Provinsi Sumatera Utara</t>
  </si>
  <si>
    <t>SEKOLAH DASAR NEGERI 05 KARANGTENGAH</t>
  </si>
  <si>
    <t>088802613090</t>
  </si>
  <si>
    <t>risamasurobby9@gmail.com</t>
  </si>
  <si>
    <t>Ni Putu Ariasih, S.Pd</t>
  </si>
  <si>
    <t>112.72685193242656</t>
  </si>
  <si>
    <t>081263488889</t>
  </si>
  <si>
    <t>-7.315197699243133</t>
  </si>
  <si>
    <t>karmiladewi770@gmail.com</t>
  </si>
  <si>
    <t xml:space="preserve"> 106.90814263226484</t>
  </si>
  <si>
    <t>-6.56697072137806</t>
  </si>
  <si>
    <t>085847509306</t>
  </si>
  <si>
    <t>Arum Sekar Buana</t>
  </si>
  <si>
    <t>Arum.sekar@polinela.ac.id</t>
  </si>
  <si>
    <t>Sri Indrayani</t>
  </si>
  <si>
    <t>Ni Putu Setya Widyasari, S.Pd.,M.Ling</t>
  </si>
  <si>
    <t>081249389673</t>
  </si>
  <si>
    <t>085338703859</t>
  </si>
  <si>
    <t>agustinafitrim@gmail.com</t>
  </si>
  <si>
    <t>Ni Ketut Sri Astuti</t>
  </si>
  <si>
    <t>I Nengah Andi, S.Pd</t>
  </si>
  <si>
    <t xml:space="preserve">polinela </t>
  </si>
  <si>
    <t>sriastutiniketut8@gmail.com</t>
  </si>
  <si>
    <t>putususenipitrianingsih@gmail.com</t>
  </si>
  <si>
    <t>085896053250</t>
  </si>
  <si>
    <t>081353176729</t>
  </si>
  <si>
    <t>Gina Aliya Sopha</t>
  </si>
  <si>
    <t>Luh Putu Karmila Dewi, S.Pd</t>
  </si>
  <si>
    <t>Ayunda Oktawiyani, S.P.</t>
  </si>
  <si>
    <t>SMPN 2 BANGLI</t>
  </si>
  <si>
    <t>madesudirama023@gmail.com</t>
  </si>
  <si>
    <t>ayundayunda.oa@gmail.com</t>
  </si>
  <si>
    <t>085792012250</t>
  </si>
  <si>
    <t>115.36200606335777</t>
  </si>
  <si>
    <t>089667608504</t>
  </si>
  <si>
    <t>-8.434298450373179</t>
  </si>
  <si>
    <t>Ni Putu Wina Maryuni, S.Pd., M.Pd</t>
  </si>
  <si>
    <t>Eli Korlina</t>
  </si>
  <si>
    <t>SMPN 6 KINTAMANI</t>
  </si>
  <si>
    <t>Ir. Mustika Adzania Lestari, S.P., M.P.</t>
  </si>
  <si>
    <t>nyoman.mana@gmail.com</t>
  </si>
  <si>
    <t>083117186138</t>
  </si>
  <si>
    <t>115.33100229640236</t>
  </si>
  <si>
    <t>mustika.adzania@polinela.ac.id</t>
  </si>
  <si>
    <t>-8.289431851013875</t>
  </si>
  <si>
    <t>0821-8213-9595</t>
  </si>
  <si>
    <t>Ayu Swandewi Trikusuma, SH</t>
  </si>
  <si>
    <t>SMPN 1 TEMBUKU</t>
  </si>
  <si>
    <t>Siti Tarisa</t>
  </si>
  <si>
    <t>ekayudiasih@gmail.com</t>
  </si>
  <si>
    <t>Dr. H. Siti Makhmudah  SPd MSi</t>
  </si>
  <si>
    <t>085238093096</t>
  </si>
  <si>
    <t>Institut Pertanian Bogor</t>
  </si>
  <si>
    <t>115.38481284747249</t>
  </si>
  <si>
    <t>sititarisa807@gmail.com</t>
  </si>
  <si>
    <t>-8.453022796314979</t>
  </si>
  <si>
    <t>08381102552</t>
  </si>
  <si>
    <t>Dinas Pendidikan Kab Cirebon</t>
  </si>
  <si>
    <t>luhukayjohanna@gmail.com</t>
  </si>
  <si>
    <t>085794744487</t>
  </si>
  <si>
    <t>I Made Sudirama, S.Pd</t>
  </si>
  <si>
    <t>108.47782132477006</t>
  </si>
  <si>
    <t>Intani Quarta Lailaty, M.Sc.</t>
  </si>
  <si>
    <t>-6.762156985326821</t>
  </si>
  <si>
    <t>Research Center for Applied Botany-BRIN</t>
  </si>
  <si>
    <t>SMPN 4 SUSUT</t>
  </si>
  <si>
    <t xml:space="preserve">inta009@brin.go.id </t>
  </si>
  <si>
    <t>kadekariustini23@gmail.com</t>
  </si>
  <si>
    <t>081236653368</t>
  </si>
  <si>
    <t>085640764347</t>
  </si>
  <si>
    <t>115.34040662726765</t>
  </si>
  <si>
    <t xml:space="preserve">Ahmad Syahrian siregar </t>
  </si>
  <si>
    <t>-8.400152417569199</t>
  </si>
  <si>
    <t>I Nyoman Mana S.A.B</t>
  </si>
  <si>
    <t>Putri Shobrina Azahra</t>
  </si>
  <si>
    <t>joykennethb2@gmail.com</t>
  </si>
  <si>
    <t>SMKN 1 Bangli</t>
  </si>
  <si>
    <t>msandiarta@gmail.com</t>
  </si>
  <si>
    <t>Indonesia Oil Palm Research Institute (IOPRI)</t>
  </si>
  <si>
    <t>081239127440</t>
  </si>
  <si>
    <t>psashasa@gmail.com</t>
  </si>
  <si>
    <t>115.35274723085602</t>
  </si>
  <si>
    <t>-8.45787369320957</t>
  </si>
  <si>
    <t>0881027619268</t>
  </si>
  <si>
    <t>SANG AYU EKA YUDIASIH, S.Pd</t>
  </si>
  <si>
    <t>Anneke Pesik</t>
  </si>
  <si>
    <t>SMK NEGERI 1 SUSUT</t>
  </si>
  <si>
    <t>ardinengah1@gmail.com</t>
  </si>
  <si>
    <t>Uchti Nuzul Qhinanti Lubis, S.P., M.Si.</t>
  </si>
  <si>
    <t>081946703200</t>
  </si>
  <si>
    <t>115.3484517560812</t>
  </si>
  <si>
    <t xml:space="preserve">Malikussaleh University </t>
  </si>
  <si>
    <t>-8.420536543739274</t>
  </si>
  <si>
    <t>shohibbuddin07@guru.smk.belajar.id</t>
  </si>
  <si>
    <t>uchti.nuzul@unimal.ac.id</t>
  </si>
  <si>
    <t>081382641922</t>
  </si>
  <si>
    <t>Ni Kadek Ariustini, S. Pd</t>
  </si>
  <si>
    <t>96.98604589363362</t>
  </si>
  <si>
    <t>SMK NEGERI 1 TEMBUKU</t>
  </si>
  <si>
    <t>5.2322669519439176</t>
  </si>
  <si>
    <t>nengahrusmadi@gmail.com</t>
  </si>
  <si>
    <t>082247973476</t>
  </si>
  <si>
    <t>115.40763615153732</t>
  </si>
  <si>
    <t>-8.443367506531528</t>
  </si>
  <si>
    <t>Dr. Ir. Bagus Kukuh Udarto, MP.</t>
  </si>
  <si>
    <t>Nizar Hilmy, A.Md</t>
  </si>
  <si>
    <t>PRH _ BRIN</t>
  </si>
  <si>
    <t>bagusku3101@gmail.com</t>
  </si>
  <si>
    <t>I Made Sandiarta, S. Pd</t>
  </si>
  <si>
    <t>Tesso Nilo National Park</t>
  </si>
  <si>
    <t>08122335009</t>
  </si>
  <si>
    <t>SMK Negeri 2 Bangli</t>
  </si>
  <si>
    <t>bondee@unp.edu.ph</t>
  </si>
  <si>
    <t>inengah.sumana21@gmail.com</t>
  </si>
  <si>
    <t>081258450985</t>
  </si>
  <si>
    <t>101.62304774852765</t>
  </si>
  <si>
    <t>-0.07580402884826087</t>
  </si>
  <si>
    <t>081915962976</t>
  </si>
  <si>
    <t>115.3657201020379</t>
  </si>
  <si>
    <t>Usnawiyah, S.P., M.P.</t>
  </si>
  <si>
    <t>-8.386983034552633</t>
  </si>
  <si>
    <t>Unimal</t>
  </si>
  <si>
    <t>Jamsari</t>
  </si>
  <si>
    <t>I Nengah Ardi, S. Pd</t>
  </si>
  <si>
    <t>usnawiyah@unimal.ac.id</t>
  </si>
  <si>
    <t>SMA N 1 TEMBUKU</t>
  </si>
  <si>
    <t>yuliantariketut343@gmail.com</t>
  </si>
  <si>
    <t>081360098238</t>
  </si>
  <si>
    <t>115.39519893011489</t>
  </si>
  <si>
    <t xml:space="preserve">5.2322669519439176, </t>
  </si>
  <si>
    <t>-8.44369112976023</t>
  </si>
  <si>
    <t>Ni Nengah Rusmadi, S.Pd.</t>
  </si>
  <si>
    <t>Dian Rahma Pratiwi, S.Si., M.Si.</t>
  </si>
  <si>
    <t>SMA Negeri 1 Susut</t>
  </si>
  <si>
    <t>Indonesian Oil Palm Research Institute</t>
  </si>
  <si>
    <t>wayanterem23@gmail.com</t>
  </si>
  <si>
    <t>qamir0119@gmail.com</t>
  </si>
  <si>
    <t>dianrahmapratiwi@gmail.com</t>
  </si>
  <si>
    <t>081916560883</t>
  </si>
  <si>
    <t>115.34717683416702</t>
  </si>
  <si>
    <t>081291022377</t>
  </si>
  <si>
    <t>-8.413581333544245</t>
  </si>
  <si>
    <t>100.45810357859197</t>
  </si>
  <si>
    <t>-0.9151913956192339</t>
  </si>
  <si>
    <t>Drs.I Nyoman Sabaraka M.Pd</t>
  </si>
  <si>
    <t>SMK N 3 Kintamani</t>
  </si>
  <si>
    <t>Masfiyah</t>
  </si>
  <si>
    <t>Darmadi</t>
  </si>
  <si>
    <t>Universitas Negeri Surabaya</t>
  </si>
  <si>
    <t>115.29045255786352</t>
  </si>
  <si>
    <t>BDS</t>
  </si>
  <si>
    <t>-8.194696995058255</t>
  </si>
  <si>
    <t>masfiyah090605@gmail.com</t>
  </si>
  <si>
    <t>islamulh@unram.ac.id</t>
  </si>
  <si>
    <t>081916223901</t>
  </si>
  <si>
    <t>089503215812</t>
  </si>
  <si>
    <t>I Nengah Dwi Sutanegara</t>
  </si>
  <si>
    <t>112.72685169370493</t>
  </si>
  <si>
    <t>-7.315213334190568</t>
  </si>
  <si>
    <t>SMKS Aska Bali Mandala</t>
  </si>
  <si>
    <t>jro.mangku.sabaraka@gmail.com</t>
  </si>
  <si>
    <t xml:space="preserve">Drs. Puji Harsono MM </t>
  </si>
  <si>
    <t>081936042402</t>
  </si>
  <si>
    <t>Event Category</t>
  </si>
  <si>
    <t>115.38212434967754</t>
  </si>
  <si>
    <t>-8.382670755848704</t>
  </si>
  <si>
    <t xml:space="preserve">SMPN 7 Bojonegoro Jatim </t>
  </si>
  <si>
    <t>Total</t>
  </si>
  <si>
    <t>nancytuwaidan@unsrat.ac.id</t>
  </si>
  <si>
    <t>SUF</t>
  </si>
  <si>
    <t>0895395281043</t>
  </si>
  <si>
    <t>111.88361060488569</t>
  </si>
  <si>
    <t>I Made Nara Kusuma</t>
  </si>
  <si>
    <t>-7.151297842017147</t>
  </si>
  <si>
    <t>SMKN 1 Kintamani</t>
  </si>
  <si>
    <t>Dr. Joan Joulanda Grace Kailola, S.P., M.Si</t>
  </si>
  <si>
    <t>115.26499169923395</t>
  </si>
  <si>
    <t>-8.222247060769691</t>
  </si>
  <si>
    <t>nontjekumajas22@gmail.com</t>
  </si>
  <si>
    <t>Ni Putu Wisiali</t>
  </si>
  <si>
    <t>Yuli Fitriani, S.Hut.</t>
  </si>
  <si>
    <t>SMAN 1 Bangli</t>
  </si>
  <si>
    <t>NC Three</t>
  </si>
  <si>
    <t>yuli111207.yf@gmail.com</t>
  </si>
  <si>
    <t>115.35215237746294</t>
  </si>
  <si>
    <t>Ella Ubaidi</t>
  </si>
  <si>
    <t>-8.462864586083658</t>
  </si>
  <si>
    <t>085711656196</t>
  </si>
  <si>
    <t>KNGI</t>
  </si>
  <si>
    <t>jogeneis.patty@lecturer.unpatti.ac.id</t>
  </si>
  <si>
    <t xml:space="preserve">I Nengah Sumana </t>
  </si>
  <si>
    <t>0816841637</t>
  </si>
  <si>
    <t>SMPN 4 Kintamani</t>
  </si>
  <si>
    <t>115.40849297077051</t>
  </si>
  <si>
    <t>-8.229019440289425</t>
  </si>
  <si>
    <t>Santoso</t>
  </si>
  <si>
    <t>PT Smart Lab Indonesia</t>
  </si>
  <si>
    <t>GEMS</t>
  </si>
  <si>
    <t>lilismudjiati2021@gmail.com</t>
  </si>
  <si>
    <t>I Nengah Arto</t>
  </si>
  <si>
    <t>085810357674</t>
  </si>
  <si>
    <t>106.68015969396505</t>
  </si>
  <si>
    <t>SMKN 2 Kintamani</t>
  </si>
  <si>
    <t>-6.329710692268653</t>
  </si>
  <si>
    <t>110.41998625268329</t>
  </si>
  <si>
    <t>115.40851978007225</t>
  </si>
  <si>
    <t>-8.229384467942293</t>
  </si>
  <si>
    <t>-6.990403697205322</t>
  </si>
  <si>
    <t>Luky Saparingga Pamungkas</t>
  </si>
  <si>
    <t>-</t>
  </si>
  <si>
    <t>setiawanwibowo19@gmail.com</t>
  </si>
  <si>
    <t>081312442621</t>
  </si>
  <si>
    <t>Vilma Laurien Tanasale.SP.MSc</t>
  </si>
  <si>
    <t>Pattimura university</t>
  </si>
  <si>
    <t>bambangimansantoso@mail.ugm.ac.id</t>
  </si>
  <si>
    <t>Muhammad Syarief Zulianto</t>
  </si>
  <si>
    <t>081343468811</t>
  </si>
  <si>
    <t>Islamic State University of Sunan Kalijaga Yogyakarta</t>
  </si>
  <si>
    <t>muhammadsyarief726@gmail.com</t>
  </si>
  <si>
    <t>Muh. Akhsan Akib</t>
  </si>
  <si>
    <t>085894171118</t>
  </si>
  <si>
    <t>110.39435648748305</t>
  </si>
  <si>
    <t xml:space="preserve">Universitas </t>
  </si>
  <si>
    <t>-7.7847801364635245</t>
  </si>
  <si>
    <t>trekkingyuk@gmail.com</t>
  </si>
  <si>
    <t>081343885978</t>
  </si>
  <si>
    <t>Sri Handayani</t>
  </si>
  <si>
    <t>Ilyas Marzuki</t>
  </si>
  <si>
    <t>srihandayaniwaimital@gmail.com</t>
  </si>
  <si>
    <t>rmaradhy@borneo.ac.id</t>
  </si>
  <si>
    <t>082198666629</t>
  </si>
  <si>
    <t>Ilmus Nakul</t>
  </si>
  <si>
    <t>Kementrian kelautan dan perikanan</t>
  </si>
  <si>
    <t>nakulilmus8@gmail.com</t>
  </si>
  <si>
    <t>Ir. Esther Dolfina Masauna, MP</t>
  </si>
  <si>
    <t>0857-0533-3965</t>
  </si>
  <si>
    <t>ambuarga@gmail.com</t>
  </si>
  <si>
    <t>082198417341</t>
  </si>
  <si>
    <t>Handayani</t>
  </si>
  <si>
    <t>Independent</t>
  </si>
  <si>
    <t>UIA</t>
  </si>
  <si>
    <t>nur06527@gmail.com</t>
  </si>
  <si>
    <t>083814142489</t>
  </si>
  <si>
    <t>106.91008789176327</t>
  </si>
  <si>
    <t>085261966582</t>
  </si>
  <si>
    <t>-6.262007079979948</t>
  </si>
  <si>
    <t>Hary Wawangningrum</t>
  </si>
  <si>
    <t>nunesliliana2004@gmail.com</t>
  </si>
  <si>
    <t>hrwawang@gmail.com</t>
  </si>
  <si>
    <t>081387465592</t>
  </si>
  <si>
    <t>IR. ROBBY G RISAMASU  MP</t>
  </si>
  <si>
    <t>Unpatti</t>
  </si>
  <si>
    <t>borahmaia13@gmail.com</t>
  </si>
  <si>
    <t>085243904529</t>
  </si>
  <si>
    <t>R. Vitri Garvita, M.Si.</t>
  </si>
  <si>
    <t>vitrigarvita@gmail.com</t>
  </si>
  <si>
    <t xml:space="preserve">Agustina Fitri Mayasari </t>
  </si>
  <si>
    <t>081310788917</t>
  </si>
  <si>
    <t xml:space="preserve">SMKN 1 Pacet </t>
  </si>
  <si>
    <t>daliadoutel16@gmail.com</t>
  </si>
  <si>
    <t>107.06623291781904</t>
  </si>
  <si>
    <t>-6.723943919725623</t>
  </si>
  <si>
    <t>Almuna Ramadhani, S.TP., M.Si.</t>
  </si>
  <si>
    <t>Malikussaleh University</t>
  </si>
  <si>
    <t>liboriommendonca@gmail.com</t>
  </si>
  <si>
    <t>almunaramadhani@unimal.ac.id</t>
  </si>
  <si>
    <t>+6285241088115</t>
  </si>
  <si>
    <t>119.89369885423058</t>
  </si>
  <si>
    <t>082370635709</t>
  </si>
  <si>
    <t>-0.8364692647665019</t>
  </si>
  <si>
    <t>VILMA LAURIEN TANASALE. .SP. MSc</t>
  </si>
  <si>
    <t>marheenee@gmail.com</t>
  </si>
  <si>
    <t>DAYANG ZAEMAH ZAFIRAH BT ABANG MASLLEH</t>
  </si>
  <si>
    <t xml:space="preserve">UNIVERSITI TEKNOLOGI MARA / NGO </t>
  </si>
  <si>
    <t xml:space="preserve">dygzaemahzafirah@gmail.com </t>
  </si>
  <si>
    <t>Johanna M Luhukay, SP.M.Sc</t>
  </si>
  <si>
    <t>101.503671564785</t>
  </si>
  <si>
    <t>082198871701</t>
  </si>
  <si>
    <t>3.0697973372404834</t>
  </si>
  <si>
    <t xml:space="preserve">Joy Kenneth Sala Biasong </t>
  </si>
  <si>
    <t>Wylla Sylvia Maharani, SP., MM.</t>
  </si>
  <si>
    <t xml:space="preserve">Voctech Academy </t>
  </si>
  <si>
    <t>sylviawylla@gmail.com</t>
  </si>
  <si>
    <t>09228195675</t>
  </si>
  <si>
    <t>123.87230689597276</t>
  </si>
  <si>
    <t>10.289333466678277</t>
  </si>
  <si>
    <t>081333945072</t>
  </si>
  <si>
    <t>106.83688028531985</t>
  </si>
  <si>
    <t>-6.285694374226481</t>
  </si>
  <si>
    <t>SHOHIBBUDDIN S.P</t>
  </si>
  <si>
    <t>SMK AL FALAH GRESIK</t>
  </si>
  <si>
    <t>yhharyati@gmail.com</t>
  </si>
  <si>
    <t>082332635800</t>
  </si>
  <si>
    <t>Khamsalath SOUDTHEDLATH</t>
  </si>
  <si>
    <t>112.48043726499404</t>
  </si>
  <si>
    <t>-6.972966351667681</t>
  </si>
  <si>
    <t xml:space="preserve">Biotechnology and Ecology Institute, Ministry of Agriculture and Environment </t>
  </si>
  <si>
    <t>Bondee L. Peñaflor</t>
  </si>
  <si>
    <t>University of Northern Philippines</t>
  </si>
  <si>
    <t>imaculadamendes08@gmail.com</t>
  </si>
  <si>
    <t>09566007114</t>
  </si>
  <si>
    <t>120.38284310812091</t>
  </si>
  <si>
    <t>17.56117748332042</t>
  </si>
  <si>
    <t>Dini Septiani</t>
  </si>
  <si>
    <t>Airlangga</t>
  </si>
  <si>
    <t>Amir Qusyairi Abdul Karim</t>
  </si>
  <si>
    <t>dseptiani072@gmail.com</t>
  </si>
  <si>
    <t>Atatürk Üniversitesi</t>
  </si>
  <si>
    <t>tiaraprimayanti@gmail.com</t>
  </si>
  <si>
    <t>112.78392998678966</t>
  </si>
  <si>
    <t>+60175604678</t>
  </si>
  <si>
    <t>-7.268644751088293</t>
  </si>
  <si>
    <t>41.24408724881814</t>
  </si>
  <si>
    <t>39.89933422414888</t>
  </si>
  <si>
    <t>Faradila Danasworo Putri, SP., M.Si.</t>
  </si>
  <si>
    <t>Islamul Hadi</t>
  </si>
  <si>
    <t>BRMP Perkebunan / Indonesian Center for Agricultural Development and Modernization of Estate Crops</t>
  </si>
  <si>
    <t>University of Matraam</t>
  </si>
  <si>
    <t>faradiladputri@gmail.com</t>
  </si>
  <si>
    <t>johannessitompul03@gmail.com</t>
  </si>
  <si>
    <t>081290173593</t>
  </si>
  <si>
    <t>081917468941</t>
  </si>
  <si>
    <t>106.78758778292216</t>
  </si>
  <si>
    <t>116.09220873698017</t>
  </si>
  <si>
    <t>-8.587233000551393</t>
  </si>
  <si>
    <t>-6.578885454080314</t>
  </si>
  <si>
    <t>Dr.Ir.Nancy W.H.Tuwaidan,MP</t>
  </si>
  <si>
    <t>Minh Duy Pham</t>
  </si>
  <si>
    <t xml:space="preserve">Unsrat </t>
  </si>
  <si>
    <t>Nong Lam University Ho Chi Minh City</t>
  </si>
  <si>
    <t>dindin.poltek@gmail.com</t>
  </si>
  <si>
    <t>duy.phamminh@hcmuaf.edu.vn</t>
  </si>
  <si>
    <t>085256010433</t>
  </si>
  <si>
    <t>124.82842970699697</t>
  </si>
  <si>
    <t>1.4583148871110354</t>
  </si>
  <si>
    <t>106.79175549425197</t>
  </si>
  <si>
    <t>10.871284334206566</t>
  </si>
  <si>
    <t>Nontje J Kumajas</t>
  </si>
  <si>
    <t>Andri Supriyanto SH</t>
  </si>
  <si>
    <t xml:space="preserve">PT THIBBUN NABAWI INDONESIA </t>
  </si>
  <si>
    <t>085240352686</t>
  </si>
  <si>
    <t>coach4ndri@gmail.com</t>
  </si>
  <si>
    <t>Ir. Jogeneis Patty, MP</t>
  </si>
  <si>
    <t>nurafniandihasan29@gmail.com</t>
  </si>
  <si>
    <t>+6282239939954</t>
  </si>
  <si>
    <t>Alvira Noer Effendi</t>
  </si>
  <si>
    <t>Universitas Nasional</t>
  </si>
  <si>
    <t>noer.alvira@gmail.com</t>
  </si>
  <si>
    <t>Lilis Mudjiati</t>
  </si>
  <si>
    <t>SMA N 1 Sragi</t>
  </si>
  <si>
    <t>106.83955225357347</t>
  </si>
  <si>
    <t>ellyyunita16@guru.smp.belajar.id</t>
  </si>
  <si>
    <t>-6.2805453346918645</t>
  </si>
  <si>
    <t>081225953321</t>
  </si>
  <si>
    <t>109.56061538995004</t>
  </si>
  <si>
    <t>-6.936905299122583</t>
  </si>
  <si>
    <t>Lindan Malik</t>
  </si>
  <si>
    <t>Universitas Negeri Makassar</t>
  </si>
  <si>
    <t>Setiawan Wibowo</t>
  </si>
  <si>
    <t>lindanmaliktuku@gmail.com</t>
  </si>
  <si>
    <t>Universitas Negeri Jakarta</t>
  </si>
  <si>
    <t>119.43621345970813</t>
  </si>
  <si>
    <t>-5.168855938913061</t>
  </si>
  <si>
    <t>082143546174</t>
  </si>
  <si>
    <t>106.879006093673</t>
  </si>
  <si>
    <t>-6.194223530159627</t>
  </si>
  <si>
    <t>Putri Salsa Afifah, SP., MP.</t>
  </si>
  <si>
    <t>Bambang Iman Santoso</t>
  </si>
  <si>
    <t>putrisalsaafifah1401@gmail.com</t>
  </si>
  <si>
    <t>0811899574</t>
  </si>
  <si>
    <t>100.4580865876378</t>
  </si>
  <si>
    <t>110.37776444578039</t>
  </si>
  <si>
    <t>-7.770826443699728</t>
  </si>
  <si>
    <t>-0.915198319709561</t>
  </si>
  <si>
    <t>Debora S. Purba</t>
  </si>
  <si>
    <t>Muh Akhsan Akib</t>
  </si>
  <si>
    <t>Akademi Pariwisata ULCLA</t>
  </si>
  <si>
    <t>081226161915</t>
  </si>
  <si>
    <t>Universitas Muhammadiyah Parepare</t>
  </si>
  <si>
    <t>99.01428260869606</t>
  </si>
  <si>
    <t>akhsanbagus@yahoo.co.id</t>
  </si>
  <si>
    <t>1.9986488489827134</t>
  </si>
  <si>
    <t>Ermawaty Maradhy, S.Si., M.Si</t>
  </si>
  <si>
    <t>119.65199210557675</t>
  </si>
  <si>
    <t>-3.98430395557404</t>
  </si>
  <si>
    <t>Universitas Borneo Tarakan</t>
  </si>
  <si>
    <t>(+62)82213456717</t>
  </si>
  <si>
    <t>117.64905802663564</t>
  </si>
  <si>
    <t>3.3034916721502317</t>
  </si>
  <si>
    <t>Drs. Puji Harsono MM.</t>
  </si>
  <si>
    <t xml:space="preserve">SMP N 7 Bojonegoro </t>
  </si>
  <si>
    <t>Esti Rahmadini</t>
  </si>
  <si>
    <t>puji.harsono@yahoo.co.id</t>
  </si>
  <si>
    <t>RE.Grow Organik</t>
  </si>
  <si>
    <t>111.88360851271504</t>
  </si>
  <si>
    <t>+6281222271014</t>
  </si>
  <si>
    <t>-7.151268930002168</t>
  </si>
  <si>
    <t>NURHAYATI. S. Pi</t>
  </si>
  <si>
    <t>Fitri Fatma Wardani</t>
  </si>
  <si>
    <t>MTs Al Mubarokah Turi Lamongan</t>
  </si>
  <si>
    <t>085231824831</t>
  </si>
  <si>
    <t>wardani.fitri05@gmail.com</t>
  </si>
  <si>
    <t>112.38230190305168</t>
  </si>
  <si>
    <t>-7.075688460708374</t>
  </si>
  <si>
    <t>Liliana de Andrade Nunes</t>
  </si>
  <si>
    <t>University of National Timor Lorosae</t>
  </si>
  <si>
    <t>125.57901733451195</t>
  </si>
  <si>
    <t>Tiara Primayanti</t>
  </si>
  <si>
    <t>-8.555552988523846</t>
  </si>
  <si>
    <t xml:space="preserve">Universitas Islam Assyafiiyah </t>
  </si>
  <si>
    <t>Debora Baz Maia</t>
  </si>
  <si>
    <t>UNTL</t>
  </si>
  <si>
    <t>106.91008487767085</t>
  </si>
  <si>
    <t>-6.262005626032401</t>
  </si>
  <si>
    <t>Paskalina Yabarmase</t>
  </si>
  <si>
    <t>Dalia da Costa Soares Doutel</t>
  </si>
  <si>
    <t xml:space="preserve">Universitas Pattimura Ambon </t>
  </si>
  <si>
    <t>paskalinayabarmase68@gmail.com</t>
  </si>
  <si>
    <t>128.19567414903594</t>
  </si>
  <si>
    <t>-3.6546085158540405</t>
  </si>
  <si>
    <t xml:space="preserve">Liborio Maria Mendonça </t>
  </si>
  <si>
    <r>
      <rPr>
        <sz val="10"/>
        <rFont val="Times New Roman"/>
      </rPr>
      <t xml:space="preserve">Madinawati, S.Pi., </t>
    </r>
    <r>
      <rPr>
        <u/>
        <sz val="10"/>
        <color rgb="FF1155CC"/>
        <rFont val="Times New Roman"/>
      </rPr>
      <t>M.Si</t>
    </r>
    <r>
      <rPr>
        <sz val="10"/>
        <rFont val="Times New Roman"/>
      </rPr>
      <t>.</t>
    </r>
  </si>
  <si>
    <t>Marini, S.P.</t>
  </si>
  <si>
    <t>081547221603</t>
  </si>
  <si>
    <t>106.80019446069953</t>
  </si>
  <si>
    <t>-6.206637125691774</t>
  </si>
  <si>
    <t>madinawati92@gmail.com</t>
  </si>
  <si>
    <t>119.89369178283935</t>
  </si>
  <si>
    <t>-0.8364272664022604</t>
  </si>
  <si>
    <t>An'nisa Zahro Nafisah</t>
  </si>
  <si>
    <t>Dr. Ir. Saidah, MP</t>
  </si>
  <si>
    <t>annisazahro@apps.ipb.ac.id</t>
  </si>
  <si>
    <t>081322584114</t>
  </si>
  <si>
    <t>Yati  Haryati</t>
  </si>
  <si>
    <t>National Research Innovation Agency/BRIN</t>
  </si>
  <si>
    <t>Ema komalasari, S.P., MP.</t>
  </si>
  <si>
    <t>ema.komalasari@gmail.com</t>
  </si>
  <si>
    <t xml:space="preserve">Imaculada Conceição Lelo Carvalho Mendes </t>
  </si>
  <si>
    <t>082128239888</t>
  </si>
  <si>
    <t xml:space="preserve">UNTL </t>
  </si>
  <si>
    <t>Nurwanti Ekasari Putri</t>
  </si>
  <si>
    <t>nurwanita2015@gmail.com</t>
  </si>
  <si>
    <t>08563663660</t>
  </si>
  <si>
    <t>106.91010361830888</t>
  </si>
  <si>
    <t>-6.262017360109884</t>
  </si>
  <si>
    <t xml:space="preserve">Johannes Sitompul </t>
  </si>
  <si>
    <t>Annyla Dwi Santika</t>
  </si>
  <si>
    <t xml:space="preserve">BPW. Sinar Worldtrip </t>
  </si>
  <si>
    <t xml:space="preserve">Universitas Negeri Surabaya </t>
  </si>
  <si>
    <t>+6282167888389</t>
  </si>
  <si>
    <t>nayyylaaa62@gmail.com</t>
  </si>
  <si>
    <t>112.726714892855</t>
  </si>
  <si>
    <t>-7.31497584159971</t>
  </si>
  <si>
    <t xml:space="preserve">Dindin Awaludin </t>
  </si>
  <si>
    <t xml:space="preserve">SMKN 1 PATOKBEUSI </t>
  </si>
  <si>
    <t>083148562848</t>
  </si>
  <si>
    <t>107.58619618553952</t>
  </si>
  <si>
    <t>-6.37481237576576</t>
  </si>
  <si>
    <r>
      <rPr>
        <sz val="10"/>
        <rFont val="Times New Roman"/>
      </rPr>
      <t xml:space="preserve">Dr. Handayani, </t>
    </r>
    <r>
      <rPr>
        <u/>
        <sz val="10"/>
        <color rgb="FF1155CC"/>
        <rFont val="Times New Roman"/>
      </rPr>
      <t>M.Si</t>
    </r>
    <r>
      <rPr>
        <sz val="10"/>
        <rFont val="Times New Roman"/>
      </rPr>
      <t>.</t>
    </r>
  </si>
  <si>
    <t>Univ Islam As-Syafiiyah</t>
  </si>
  <si>
    <t>106.91006400817338</t>
  </si>
  <si>
    <t>-6.26195250226564</t>
  </si>
  <si>
    <t xml:space="preserve">Nur Afni Andi Hasan </t>
  </si>
  <si>
    <t>Balai Perbenihan tanaman hutan wilayah 2</t>
  </si>
  <si>
    <t>Herisabana Amiruddin, S.Pi.</t>
  </si>
  <si>
    <t>089677799595</t>
  </si>
  <si>
    <t>119.52001930874862</t>
  </si>
  <si>
    <t>-5.086033185071492</t>
  </si>
  <si>
    <t xml:space="preserve">heritacibana@gmail.com </t>
  </si>
  <si>
    <t>085256416305</t>
  </si>
  <si>
    <t xml:space="preserve">ELY YUNITA </t>
  </si>
  <si>
    <t xml:space="preserve">SMP </t>
  </si>
  <si>
    <t>081371026111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</si>
</sst>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&quot; / 90&quot;"/>
  </numFmts>
  <fonts count="36" x14ac:knownFonts="1">
    <font>
      <sz val="10"/>
      <color rgb="FF000000"/>
      <name val="Arial"/>
      <scheme val="minor"/>
    </font>
    <font>
      <b/>
      <sz val="10"/>
      <color rgb="FFFFFFFF"/>
      <name val="Times New Roman"/>
    </font>
    <font>
      <b/>
      <sz val="10"/>
      <color rgb="FFFFFFFF"/>
      <name val="Roboto"/>
    </font>
    <font>
      <sz val="10"/>
      <color theme="1"/>
      <name val="Arial"/>
    </font>
    <font>
      <sz val="10"/>
      <color rgb="FFFFFFFF"/>
      <name val="Roboto"/>
    </font>
    <font>
      <sz val="10"/>
      <color theme="1"/>
      <name val="Arial"/>
      <scheme val="minor"/>
    </font>
    <font>
      <sz val="10"/>
      <color rgb="FF000000"/>
      <name val="Times New Roman"/>
    </font>
    <font>
      <sz val="10"/>
      <color rgb="FF000000"/>
      <name val="Roboto"/>
    </font>
    <font>
      <sz val="10"/>
      <color rgb="FF434343"/>
      <name val="Roboto"/>
    </font>
    <font>
      <sz val="10"/>
      <color rgb="FF434343"/>
      <name val="Times New Roman"/>
    </font>
    <font>
      <sz val="10"/>
      <color theme="1"/>
      <name val="Times New Roman"/>
    </font>
    <font>
      <sz val="10"/>
      <color rgb="FF2C481F"/>
      <name val="Times New Roman"/>
    </font>
    <font>
      <sz val="10"/>
      <color rgb="FF2A3243"/>
      <name val="Roboto"/>
    </font>
    <font>
      <sz val="10"/>
      <color rgb="FF434343"/>
      <name val="Roboto"/>
    </font>
    <font>
      <sz val="10"/>
      <color rgb="FF434343"/>
      <name val="Times New Roman"/>
    </font>
    <font>
      <sz val="10"/>
      <color rgb="FF383A3C"/>
      <name val="Roboto"/>
    </font>
    <font>
      <sz val="10"/>
      <color theme="1"/>
      <name val="Roboto"/>
    </font>
    <font>
      <u/>
      <sz val="10"/>
      <color rgb="FF434343"/>
      <name val="Roboto"/>
    </font>
    <font>
      <sz val="12"/>
      <color theme="1"/>
      <name val="Arial"/>
    </font>
    <font>
      <sz val="10"/>
      <color rgb="FFFF0000"/>
      <name val="Roboto"/>
    </font>
    <font>
      <sz val="10"/>
      <color rgb="FF2C481F"/>
      <name val="Roboto"/>
    </font>
    <font>
      <b/>
      <sz val="10"/>
      <color rgb="FF434343"/>
      <name val="Roboto"/>
    </font>
    <font>
      <u/>
      <sz val="10"/>
      <color rgb="FF0000FF"/>
      <name val="Times New Roman"/>
    </font>
    <font>
      <sz val="10"/>
      <color rgb="FFBFE0F6"/>
      <name val="Roboto"/>
    </font>
    <font>
      <sz val="10"/>
      <color rgb="FF473821"/>
      <name val="Roboto"/>
    </font>
    <font>
      <sz val="10"/>
      <color rgb="FFB10202"/>
      <name val="Roboto"/>
    </font>
    <font>
      <b/>
      <sz val="10"/>
      <color theme="1"/>
      <name val="Times New Roman"/>
    </font>
    <font>
      <i/>
      <sz val="10"/>
      <color rgb="FF000000"/>
      <name val="Roboto"/>
    </font>
    <font>
      <sz val="10"/>
      <color theme="1"/>
      <name val="Roboto"/>
    </font>
    <font>
      <u/>
      <sz val="10"/>
      <color rgb="FF0000FF"/>
      <name val="Arial"/>
    </font>
    <font>
      <i/>
      <sz val="10"/>
      <color rgb="FF434343"/>
      <name val="Roboto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1155CC"/>
      <name val="Roboto"/>
    </font>
    <font>
      <sz val="10"/>
      <name val="Times New Roman"/>
    </font>
    <font>
      <u/>
      <sz val="10"/>
      <color rgb="FF1155CC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6F8F9"/>
        <bgColor rgb="FFF6F8F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36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/>
      <top/>
      <bottom/>
      <diagonal/>
    </border>
    <border>
      <left style="thin">
        <color rgb="FFF8F9FA"/>
      </left>
      <right style="thin">
        <color rgb="FF000000"/>
      </right>
      <top style="thin">
        <color rgb="FFF8F9FA"/>
      </top>
      <bottom style="thin">
        <color rgb="FFF8F9FA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6F8F9"/>
      </bottom>
      <diagonal/>
    </border>
    <border>
      <left style="thin">
        <color rgb="FFF6F8F9"/>
      </left>
      <right/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6F8F9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FFFFF"/>
      </top>
      <bottom style="thin">
        <color rgb="FFF8F9FA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000000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  <diagonal/>
    </border>
    <border>
      <left style="thin">
        <color rgb="FFF6F8F9"/>
      </left>
      <right/>
      <top style="thin">
        <color rgb="FFF6F8F9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FCE5CD"/>
      </left>
      <right style="thin">
        <color rgb="FFFCE5CD"/>
      </right>
      <top style="thin">
        <color rgb="FFFCE5CD"/>
      </top>
      <bottom style="thin">
        <color rgb="FFFCE5CD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/>
    <xf numFmtId="49" fontId="2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4" fontId="4" fillId="0" borderId="0" xfId="0" applyNumberFormat="1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vertical="center"/>
    </xf>
    <xf numFmtId="0" fontId="9" fillId="3" borderId="3" xfId="0" applyFont="1" applyFill="1" applyBorder="1" applyAlignment="1">
      <alignment vertical="center" wrapText="1"/>
    </xf>
    <xf numFmtId="0" fontId="11" fillId="3" borderId="2" xfId="0" applyFont="1" applyFill="1" applyBorder="1" applyAlignment="1">
      <alignment vertical="center"/>
    </xf>
    <xf numFmtId="0" fontId="7" fillId="3" borderId="4" xfId="0" quotePrefix="1" applyFont="1" applyFill="1" applyBorder="1" applyAlignment="1">
      <alignment vertical="center"/>
    </xf>
    <xf numFmtId="0" fontId="9" fillId="3" borderId="2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vertical="center"/>
    </xf>
    <xf numFmtId="0" fontId="12" fillId="3" borderId="2" xfId="0" applyFont="1" applyFill="1" applyBorder="1" applyAlignment="1">
      <alignment vertical="center"/>
    </xf>
    <xf numFmtId="49" fontId="8" fillId="0" borderId="0" xfId="0" applyNumberFormat="1" applyFont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49" fontId="13" fillId="3" borderId="2" xfId="0" applyNumberFormat="1" applyFont="1" applyFill="1" applyBorder="1" applyAlignment="1">
      <alignment horizontal="center" vertical="center"/>
    </xf>
    <xf numFmtId="49" fontId="9" fillId="3" borderId="5" xfId="0" applyNumberFormat="1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49" fontId="14" fillId="3" borderId="6" xfId="0" quotePrefix="1" applyNumberFormat="1" applyFont="1" applyFill="1" applyBorder="1" applyAlignment="1">
      <alignment vertical="center"/>
    </xf>
    <xf numFmtId="0" fontId="15" fillId="3" borderId="7" xfId="0" applyFont="1" applyFill="1" applyBorder="1" applyAlignment="1">
      <alignment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vertical="center"/>
    </xf>
    <xf numFmtId="0" fontId="3" fillId="0" borderId="3" xfId="0" applyFont="1" applyBorder="1"/>
    <xf numFmtId="0" fontId="6" fillId="3" borderId="8" xfId="0" applyFont="1" applyFill="1" applyBorder="1" applyAlignment="1">
      <alignment horizontal="center" vertical="center"/>
    </xf>
    <xf numFmtId="0" fontId="8" fillId="3" borderId="2" xfId="0" quotePrefix="1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49" fontId="8" fillId="3" borderId="6" xfId="0" applyNumberFormat="1" applyFont="1" applyFill="1" applyBorder="1" applyAlignment="1">
      <alignment vertical="center"/>
    </xf>
    <xf numFmtId="0" fontId="9" fillId="3" borderId="8" xfId="0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11" fillId="3" borderId="8" xfId="0" applyFont="1" applyFill="1" applyBorder="1" applyAlignment="1">
      <alignment vertical="center"/>
    </xf>
    <xf numFmtId="4" fontId="8" fillId="0" borderId="0" xfId="0" applyNumberFormat="1" applyFont="1" applyAlignment="1">
      <alignment horizontal="center"/>
    </xf>
    <xf numFmtId="0" fontId="9" fillId="3" borderId="8" xfId="0" applyFont="1" applyFill="1" applyBorder="1" applyAlignment="1">
      <alignment vertical="center" wrapText="1"/>
    </xf>
    <xf numFmtId="0" fontId="7" fillId="4" borderId="9" xfId="0" quotePrefix="1" applyFont="1" applyFill="1" applyBorder="1" applyAlignment="1">
      <alignment vertical="center"/>
    </xf>
    <xf numFmtId="0" fontId="3" fillId="4" borderId="8" xfId="0" applyFont="1" applyFill="1" applyBorder="1"/>
    <xf numFmtId="0" fontId="9" fillId="3" borderId="8" xfId="0" applyFont="1" applyFill="1" applyBorder="1" applyAlignment="1">
      <alignment vertical="center"/>
    </xf>
    <xf numFmtId="49" fontId="9" fillId="3" borderId="8" xfId="0" applyNumberFormat="1" applyFont="1" applyFill="1" applyBorder="1" applyAlignment="1">
      <alignment vertical="center"/>
    </xf>
    <xf numFmtId="49" fontId="14" fillId="3" borderId="8" xfId="0" quotePrefix="1" applyNumberFormat="1" applyFont="1" applyFill="1" applyBorder="1" applyAlignment="1">
      <alignment vertical="center"/>
    </xf>
    <xf numFmtId="49" fontId="13" fillId="5" borderId="10" xfId="0" applyNumberFormat="1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right" vertical="center"/>
    </xf>
    <xf numFmtId="49" fontId="8" fillId="3" borderId="8" xfId="0" applyNumberFormat="1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vertical="center"/>
    </xf>
    <xf numFmtId="0" fontId="5" fillId="0" borderId="3" xfId="0" applyFont="1" applyBorder="1"/>
    <xf numFmtId="0" fontId="12" fillId="5" borderId="10" xfId="0" applyFont="1" applyFill="1" applyBorder="1" applyAlignment="1">
      <alignment vertical="center"/>
    </xf>
    <xf numFmtId="0" fontId="3" fillId="5" borderId="10" xfId="0" applyFont="1" applyFill="1" applyBorder="1" applyAlignment="1">
      <alignment vertical="center"/>
    </xf>
    <xf numFmtId="0" fontId="15" fillId="5" borderId="12" xfId="0" applyFont="1" applyFill="1" applyBorder="1" applyAlignment="1">
      <alignment vertical="center"/>
    </xf>
    <xf numFmtId="0" fontId="8" fillId="5" borderId="12" xfId="0" applyFont="1" applyFill="1" applyBorder="1" applyAlignment="1">
      <alignment vertical="center"/>
    </xf>
    <xf numFmtId="0" fontId="8" fillId="5" borderId="10" xfId="0" quotePrefix="1" applyFont="1" applyFill="1" applyBorder="1" applyAlignment="1">
      <alignment vertical="center"/>
    </xf>
    <xf numFmtId="49" fontId="8" fillId="5" borderId="13" xfId="0" applyNumberFormat="1" applyFont="1" applyFill="1" applyBorder="1" applyAlignment="1">
      <alignment vertical="center"/>
    </xf>
    <xf numFmtId="0" fontId="3" fillId="3" borderId="8" xfId="0" applyFont="1" applyFill="1" applyBorder="1"/>
    <xf numFmtId="0" fontId="3" fillId="0" borderId="0" xfId="0" applyFont="1" applyAlignment="1">
      <alignment vertical="center"/>
    </xf>
    <xf numFmtId="49" fontId="7" fillId="4" borderId="0" xfId="0" applyNumberFormat="1" applyFont="1" applyFill="1" applyAlignment="1">
      <alignment horizontal="center" vertical="center"/>
    </xf>
    <xf numFmtId="49" fontId="16" fillId="5" borderId="10" xfId="0" applyNumberFormat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vertical="center"/>
    </xf>
    <xf numFmtId="49" fontId="7" fillId="3" borderId="0" xfId="0" applyNumberFormat="1" applyFont="1" applyFill="1" applyAlignment="1">
      <alignment horizontal="center" vertical="center"/>
    </xf>
    <xf numFmtId="0" fontId="15" fillId="3" borderId="2" xfId="0" applyFont="1" applyFill="1" applyBorder="1" applyAlignment="1">
      <alignment vertical="center"/>
    </xf>
    <xf numFmtId="49" fontId="16" fillId="3" borderId="2" xfId="0" applyNumberFormat="1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right"/>
    </xf>
    <xf numFmtId="0" fontId="18" fillId="4" borderId="8" xfId="0" applyFont="1" applyFill="1" applyBorder="1"/>
    <xf numFmtId="0" fontId="3" fillId="3" borderId="0" xfId="0" applyFont="1" applyFill="1"/>
    <xf numFmtId="0" fontId="15" fillId="5" borderId="14" xfId="0" applyFont="1" applyFill="1" applyBorder="1" applyAlignment="1">
      <alignment vertical="center"/>
    </xf>
    <xf numFmtId="0" fontId="8" fillId="5" borderId="14" xfId="0" applyFont="1" applyFill="1" applyBorder="1" applyAlignment="1">
      <alignment vertical="center"/>
    </xf>
    <xf numFmtId="0" fontId="18" fillId="3" borderId="3" xfId="0" applyFont="1" applyFill="1" applyBorder="1" applyAlignment="1">
      <alignment horizontal="right"/>
    </xf>
    <xf numFmtId="0" fontId="18" fillId="4" borderId="15" xfId="0" applyFont="1" applyFill="1" applyBorder="1"/>
    <xf numFmtId="0" fontId="18" fillId="3" borderId="8" xfId="0" applyFont="1" applyFill="1" applyBorder="1"/>
    <xf numFmtId="0" fontId="18" fillId="3" borderId="15" xfId="0" applyFont="1" applyFill="1" applyBorder="1"/>
    <xf numFmtId="4" fontId="19" fillId="0" borderId="0" xfId="0" applyNumberFormat="1" applyFont="1" applyAlignment="1">
      <alignment horizontal="center"/>
    </xf>
    <xf numFmtId="0" fontId="20" fillId="5" borderId="10" xfId="0" applyFont="1" applyFill="1" applyBorder="1" applyAlignment="1">
      <alignment vertical="center"/>
    </xf>
    <xf numFmtId="0" fontId="7" fillId="3" borderId="16" xfId="0" applyFont="1" applyFill="1" applyBorder="1" applyAlignment="1">
      <alignment vertical="center"/>
    </xf>
    <xf numFmtId="0" fontId="15" fillId="5" borderId="10" xfId="0" applyFont="1" applyFill="1" applyBorder="1" applyAlignment="1">
      <alignment vertical="center"/>
    </xf>
    <xf numFmtId="0" fontId="7" fillId="3" borderId="17" xfId="0" quotePrefix="1" applyFont="1" applyFill="1" applyBorder="1" applyAlignment="1">
      <alignment vertical="center"/>
    </xf>
    <xf numFmtId="0" fontId="14" fillId="3" borderId="8" xfId="0" quotePrefix="1" applyFont="1" applyFill="1" applyBorder="1" applyAlignment="1">
      <alignment vertical="center"/>
    </xf>
    <xf numFmtId="0" fontId="20" fillId="3" borderId="2" xfId="0" applyFont="1" applyFill="1" applyBorder="1" applyAlignment="1">
      <alignment vertical="center"/>
    </xf>
    <xf numFmtId="164" fontId="21" fillId="0" borderId="0" xfId="0" applyNumberFormat="1" applyFont="1" applyAlignment="1">
      <alignment horizontal="center"/>
    </xf>
    <xf numFmtId="49" fontId="9" fillId="3" borderId="3" xfId="0" applyNumberFormat="1" applyFont="1" applyFill="1" applyBorder="1" applyAlignment="1">
      <alignment horizontal="center" vertical="center"/>
    </xf>
    <xf numFmtId="4" fontId="21" fillId="0" borderId="0" xfId="0" applyNumberFormat="1" applyFont="1" applyAlignment="1">
      <alignment horizontal="center"/>
    </xf>
    <xf numFmtId="0" fontId="22" fillId="0" borderId="0" xfId="0" applyFont="1" applyAlignment="1">
      <alignment vertical="center"/>
    </xf>
    <xf numFmtId="0" fontId="23" fillId="5" borderId="14" xfId="0" applyFont="1" applyFill="1" applyBorder="1" applyAlignment="1">
      <alignment vertical="center"/>
    </xf>
    <xf numFmtId="0" fontId="15" fillId="5" borderId="7" xfId="0" applyFont="1" applyFill="1" applyBorder="1" applyAlignment="1">
      <alignment vertical="center"/>
    </xf>
    <xf numFmtId="0" fontId="8" fillId="5" borderId="7" xfId="0" applyFont="1" applyFill="1" applyBorder="1" applyAlignment="1">
      <alignment vertical="center"/>
    </xf>
    <xf numFmtId="49" fontId="14" fillId="3" borderId="8" xfId="0" applyNumberFormat="1" applyFont="1" applyFill="1" applyBorder="1" applyAlignment="1">
      <alignment vertical="center"/>
    </xf>
    <xf numFmtId="0" fontId="15" fillId="5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24" fillId="3" borderId="2" xfId="0" applyFont="1" applyFill="1" applyBorder="1" applyAlignment="1">
      <alignment vertical="center"/>
    </xf>
    <xf numFmtId="0" fontId="6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vertical="center"/>
    </xf>
    <xf numFmtId="0" fontId="7" fillId="3" borderId="20" xfId="0" quotePrefix="1" applyFont="1" applyFill="1" applyBorder="1" applyAlignment="1">
      <alignment vertical="center"/>
    </xf>
    <xf numFmtId="49" fontId="16" fillId="3" borderId="21" xfId="0" applyNumberFormat="1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vertical="center"/>
    </xf>
    <xf numFmtId="0" fontId="8" fillId="3" borderId="22" xfId="0" applyFont="1" applyFill="1" applyBorder="1" applyAlignment="1">
      <alignment vertical="center"/>
    </xf>
    <xf numFmtId="0" fontId="25" fillId="5" borderId="10" xfId="0" applyFont="1" applyFill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18" fillId="3" borderId="3" xfId="0" applyFont="1" applyFill="1" applyBorder="1"/>
    <xf numFmtId="0" fontId="18" fillId="4" borderId="3" xfId="0" applyFont="1" applyFill="1" applyBorder="1" applyAlignment="1">
      <alignment horizontal="center"/>
    </xf>
    <xf numFmtId="0" fontId="18" fillId="4" borderId="3" xfId="0" applyFont="1" applyFill="1" applyBorder="1"/>
    <xf numFmtId="0" fontId="15" fillId="3" borderId="23" xfId="0" applyFont="1" applyFill="1" applyBorder="1" applyAlignment="1">
      <alignment vertical="center"/>
    </xf>
    <xf numFmtId="0" fontId="8" fillId="3" borderId="23" xfId="0" applyFont="1" applyFill="1" applyBorder="1" applyAlignment="1">
      <alignment vertical="center"/>
    </xf>
    <xf numFmtId="49" fontId="13" fillId="3" borderId="6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vertical="center"/>
    </xf>
    <xf numFmtId="49" fontId="7" fillId="3" borderId="4" xfId="0" quotePrefix="1" applyNumberFormat="1" applyFont="1" applyFill="1" applyBorder="1" applyAlignment="1">
      <alignment vertical="center"/>
    </xf>
    <xf numFmtId="49" fontId="28" fillId="0" borderId="0" xfId="0" applyNumberFormat="1" applyFont="1" applyAlignment="1">
      <alignment horizontal="center"/>
    </xf>
    <xf numFmtId="0" fontId="6" fillId="3" borderId="25" xfId="0" applyFont="1" applyFill="1" applyBorder="1" applyAlignment="1">
      <alignment horizontal="center" vertical="center"/>
    </xf>
    <xf numFmtId="0" fontId="27" fillId="4" borderId="7" xfId="0" applyFont="1" applyFill="1" applyBorder="1" applyAlignment="1">
      <alignment vertical="center"/>
    </xf>
    <xf numFmtId="49" fontId="7" fillId="4" borderId="9" xfId="0" quotePrefix="1" applyNumberFormat="1" applyFont="1" applyFill="1" applyBorder="1" applyAlignment="1">
      <alignment vertical="center"/>
    </xf>
    <xf numFmtId="49" fontId="16" fillId="0" borderId="0" xfId="0" applyNumberFormat="1" applyFont="1" applyAlignment="1">
      <alignment horizontal="center"/>
    </xf>
    <xf numFmtId="49" fontId="28" fillId="4" borderId="8" xfId="0" applyNumberFormat="1" applyFont="1" applyFill="1" applyBorder="1" applyAlignment="1">
      <alignment horizontal="center"/>
    </xf>
    <xf numFmtId="49" fontId="28" fillId="3" borderId="8" xfId="0" applyNumberFormat="1" applyFont="1" applyFill="1" applyBorder="1" applyAlignment="1">
      <alignment horizontal="center"/>
    </xf>
    <xf numFmtId="0" fontId="8" fillId="5" borderId="26" xfId="0" applyFont="1" applyFill="1" applyBorder="1" applyAlignment="1">
      <alignment horizontal="right" vertical="center"/>
    </xf>
    <xf numFmtId="0" fontId="8" fillId="5" borderId="27" xfId="0" applyFont="1" applyFill="1" applyBorder="1" applyAlignment="1">
      <alignment vertical="center"/>
    </xf>
    <xf numFmtId="0" fontId="20" fillId="5" borderId="2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15" fillId="5" borderId="16" xfId="0" applyFont="1" applyFill="1" applyBorder="1" applyAlignment="1">
      <alignment vertical="center"/>
    </xf>
    <xf numFmtId="0" fontId="8" fillId="5" borderId="16" xfId="0" applyFont="1" applyFill="1" applyBorder="1" applyAlignment="1">
      <alignment vertical="center"/>
    </xf>
    <xf numFmtId="0" fontId="8" fillId="5" borderId="27" xfId="0" quotePrefix="1" applyFont="1" applyFill="1" applyBorder="1" applyAlignment="1">
      <alignment vertical="center"/>
    </xf>
    <xf numFmtId="49" fontId="8" fillId="5" borderId="28" xfId="0" applyNumberFormat="1" applyFont="1" applyFill="1" applyBorder="1" applyAlignment="1">
      <alignment vertical="center"/>
    </xf>
    <xf numFmtId="0" fontId="3" fillId="3" borderId="29" xfId="0" applyFont="1" applyFill="1" applyBorder="1"/>
    <xf numFmtId="49" fontId="3" fillId="0" borderId="0" xfId="0" applyNumberFormat="1" applyFont="1" applyAlignment="1">
      <alignment vertical="center"/>
    </xf>
    <xf numFmtId="4" fontId="3" fillId="0" borderId="0" xfId="0" applyNumberFormat="1" applyFont="1"/>
    <xf numFmtId="49" fontId="7" fillId="3" borderId="4" xfId="0" applyNumberFormat="1" applyFont="1" applyFill="1" applyBorder="1" applyAlignment="1">
      <alignment vertical="center"/>
    </xf>
    <xf numFmtId="49" fontId="28" fillId="3" borderId="8" xfId="0" applyNumberFormat="1" applyFont="1" applyFill="1" applyBorder="1" applyAlignment="1">
      <alignment horizontal="center" vertical="center"/>
    </xf>
    <xf numFmtId="49" fontId="7" fillId="4" borderId="9" xfId="0" applyNumberFormat="1" applyFont="1" applyFill="1" applyBorder="1" applyAlignment="1">
      <alignment vertical="center"/>
    </xf>
    <xf numFmtId="49" fontId="7" fillId="3" borderId="20" xfId="0" quotePrefix="1" applyNumberFormat="1" applyFont="1" applyFill="1" applyBorder="1" applyAlignment="1">
      <alignment vertical="center"/>
    </xf>
    <xf numFmtId="49" fontId="9" fillId="3" borderId="0" xfId="0" applyNumberFormat="1" applyFont="1" applyFill="1" applyAlignment="1">
      <alignment vertical="center"/>
    </xf>
    <xf numFmtId="49" fontId="8" fillId="3" borderId="0" xfId="0" applyNumberFormat="1" applyFont="1" applyFill="1" applyAlignment="1">
      <alignment horizontal="center" vertical="center"/>
    </xf>
    <xf numFmtId="0" fontId="8" fillId="4" borderId="7" xfId="0" applyFont="1" applyFill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29" fillId="0" borderId="0" xfId="0" applyFont="1"/>
    <xf numFmtId="0" fontId="8" fillId="4" borderId="7" xfId="0" quotePrefix="1" applyFont="1" applyFill="1" applyBorder="1" applyAlignment="1">
      <alignment vertical="center"/>
    </xf>
    <xf numFmtId="0" fontId="21" fillId="6" borderId="30" xfId="0" applyFont="1" applyFill="1" applyBorder="1" applyAlignment="1">
      <alignment vertical="center"/>
    </xf>
    <xf numFmtId="0" fontId="8" fillId="6" borderId="30" xfId="0" applyFont="1" applyFill="1" applyBorder="1" applyAlignment="1">
      <alignment vertical="center"/>
    </xf>
    <xf numFmtId="0" fontId="8" fillId="6" borderId="30" xfId="0" quotePrefix="1" applyFont="1" applyFill="1" applyBorder="1" applyAlignment="1">
      <alignment vertical="center"/>
    </xf>
    <xf numFmtId="0" fontId="8" fillId="7" borderId="31" xfId="0" applyFont="1" applyFill="1" applyBorder="1" applyAlignment="1">
      <alignment vertical="center"/>
    </xf>
    <xf numFmtId="0" fontId="30" fillId="7" borderId="31" xfId="0" applyFont="1" applyFill="1" applyBorder="1" applyAlignment="1">
      <alignment vertical="center"/>
    </xf>
    <xf numFmtId="0" fontId="8" fillId="7" borderId="31" xfId="0" quotePrefix="1" applyFont="1" applyFill="1" applyBorder="1" applyAlignment="1">
      <alignment vertical="center"/>
    </xf>
    <xf numFmtId="0" fontId="8" fillId="8" borderId="32" xfId="0" applyFont="1" applyFill="1" applyBorder="1" applyAlignment="1">
      <alignment vertical="center"/>
    </xf>
    <xf numFmtId="0" fontId="30" fillId="8" borderId="32" xfId="0" applyFont="1" applyFill="1" applyBorder="1" applyAlignment="1">
      <alignment vertical="center"/>
    </xf>
    <xf numFmtId="0" fontId="8" fillId="8" borderId="32" xfId="0" quotePrefix="1" applyFont="1" applyFill="1" applyBorder="1" applyAlignment="1">
      <alignment vertical="center"/>
    </xf>
    <xf numFmtId="0" fontId="8" fillId="3" borderId="19" xfId="0" applyFont="1" applyFill="1" applyBorder="1" applyAlignment="1">
      <alignment vertical="center"/>
    </xf>
    <xf numFmtId="0" fontId="8" fillId="3" borderId="19" xfId="0" quotePrefix="1" applyFont="1" applyFill="1" applyBorder="1" applyAlignment="1">
      <alignment vertical="center"/>
    </xf>
    <xf numFmtId="0" fontId="8" fillId="3" borderId="1" xfId="0" applyFont="1" applyFill="1" applyBorder="1" applyAlignment="1">
      <alignment horizontal="right" vertical="top"/>
    </xf>
    <xf numFmtId="0" fontId="8" fillId="3" borderId="2" xfId="0" applyFont="1" applyFill="1" applyBorder="1" applyAlignment="1">
      <alignment vertical="top"/>
    </xf>
    <xf numFmtId="49" fontId="5" fillId="0" borderId="0" xfId="0" applyNumberFormat="1" applyFont="1" applyAlignment="1">
      <alignment horizontal="center" vertical="center"/>
    </xf>
    <xf numFmtId="0" fontId="8" fillId="5" borderId="11" xfId="0" applyFont="1" applyFill="1" applyBorder="1" applyAlignment="1">
      <alignment horizontal="right" vertical="top"/>
    </xf>
    <xf numFmtId="0" fontId="8" fillId="5" borderId="10" xfId="0" applyFont="1" applyFill="1" applyBorder="1" applyAlignment="1">
      <alignment vertical="top"/>
    </xf>
    <xf numFmtId="0" fontId="21" fillId="5" borderId="10" xfId="0" applyFont="1" applyFill="1" applyBorder="1" applyAlignment="1">
      <alignment vertical="top"/>
    </xf>
    <xf numFmtId="0" fontId="21" fillId="3" borderId="2" xfId="0" applyFont="1" applyFill="1" applyBorder="1" applyAlignment="1">
      <alignment vertical="top"/>
    </xf>
    <xf numFmtId="0" fontId="3" fillId="3" borderId="19" xfId="0" applyFont="1" applyFill="1" applyBorder="1" applyAlignment="1">
      <alignment vertical="center"/>
    </xf>
    <xf numFmtId="0" fontId="8" fillId="5" borderId="33" xfId="0" applyFont="1" applyFill="1" applyBorder="1" applyAlignment="1">
      <alignment horizontal="right" vertical="top"/>
    </xf>
    <xf numFmtId="0" fontId="21" fillId="5" borderId="34" xfId="0" applyFont="1" applyFill="1" applyBorder="1" applyAlignment="1">
      <alignment vertical="top"/>
    </xf>
    <xf numFmtId="0" fontId="8" fillId="5" borderId="34" xfId="0" applyFont="1" applyFill="1" applyBorder="1" applyAlignment="1">
      <alignment vertical="top"/>
    </xf>
    <xf numFmtId="0" fontId="8" fillId="3" borderId="8" xfId="0" applyFont="1" applyFill="1" applyBorder="1" applyAlignment="1">
      <alignment horizontal="right" vertical="top"/>
    </xf>
    <xf numFmtId="0" fontId="8" fillId="3" borderId="8" xfId="0" applyFont="1" applyFill="1" applyBorder="1" applyAlignment="1">
      <alignment vertical="top"/>
    </xf>
    <xf numFmtId="0" fontId="3" fillId="0" borderId="0" xfId="0" applyFont="1" applyAlignment="1">
      <alignment horizontal="right" vertical="center"/>
    </xf>
    <xf numFmtId="0" fontId="3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8" fillId="4" borderId="7" xfId="0" applyFont="1" applyFill="1" applyBorder="1" applyAlignment="1">
      <alignment horizontal="right" vertical="center"/>
    </xf>
    <xf numFmtId="49" fontId="32" fillId="3" borderId="8" xfId="0" applyNumberFormat="1" applyFont="1" applyFill="1" applyBorder="1" applyAlignment="1">
      <alignment vertical="center"/>
    </xf>
    <xf numFmtId="0" fontId="8" fillId="4" borderId="35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right" vertical="center"/>
    </xf>
    <xf numFmtId="0" fontId="8" fillId="4" borderId="35" xfId="0" quotePrefix="1" applyFont="1" applyFill="1" applyBorder="1" applyAlignment="1">
      <alignment vertical="center"/>
    </xf>
  </cellXfs>
  <cellStyles count="1">
    <cellStyle name="Normal" xfId="0" builtinId="0"/>
  </cellStyles>
  <dxfs count="5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7">
    <tableStyle name="23 Juni 2026 Hybrid Webinar Kul-style" pivot="0" count="4" xr9:uid="{00000000-0011-0000-FFFF-FFFF00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19-22 Mei SUF Semarang Jateng-style" pivot="0" count="4" xr9:uid="{00000000-0011-0000-FFFF-FFFF01000000}">
      <tableStyleElement type="wholeTable" size="0" dxfId="44"/>
      <tableStyleElement type="headerRow" dxfId="47"/>
      <tableStyleElement type="firstRowStripe" dxfId="46"/>
      <tableStyleElement type="secondRowStripe" dxfId="45"/>
    </tableStyle>
    <tableStyle name="23-26 Juni 2026 Pelatihan Kultu-style" pivot="0" count="4" xr9:uid="{00000000-0011-0000-FFFF-FFFF02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19-22 Mei SUF Balikpapan Kaltim-style" pivot="0" count="4" xr9:uid="{00000000-0011-0000-FFFF-FFFF03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23 Juni 2026 Hybrid Webinar Kul-style 2" pivot="0" count="2" xr9:uid="{00000000-0011-0000-FFFF-FFFF04000000}">
      <tableStyleElement type="firstRowStripe" dxfId="35"/>
      <tableStyleElement type="secondRowStripe" dxfId="34"/>
    </tableStyle>
    <tableStyle name="19-22 Mei SUF Semarang Jateng-style 2" pivot="0" count="2" xr9:uid="{00000000-0011-0000-FFFF-FFFF05000000}">
      <tableStyleElement type="firstRowStripe" dxfId="33"/>
      <tableStyleElement type="secondRowStripe" dxfId="32"/>
    </tableStyle>
    <tableStyle name="23-26 Juni 2026 Pelatihan Kultu-style 2" pivot="0" count="2" xr9:uid="{00000000-0011-0000-FFFF-FFFF06000000}">
      <tableStyleElement type="firstRowStripe" dxfId="31"/>
      <tableStyleElement type="secondRowStripe" dxfId="30"/>
    </tableStyle>
    <tableStyle name="23 Juni 2026 Hybrid Webinar Kul-style 3" pivot="0" count="2" xr9:uid="{00000000-0011-0000-FFFF-FFFF07000000}">
      <tableStyleElement type="firstRowStripe" dxfId="29"/>
      <tableStyleElement type="secondRowStripe" dxfId="28"/>
    </tableStyle>
    <tableStyle name="23-26 Juni 2026 Pelatihan Kultu-style 3" pivot="0" count="2" xr9:uid="{00000000-0011-0000-FFFF-FFFF08000000}">
      <tableStyleElement type="firstRowStripe" dxfId="27"/>
      <tableStyleElement type="secondRowStripe" dxfId="26"/>
    </tableStyle>
    <tableStyle name="23-26 Juni 2026 Pelatihan Kultu-style 4" pivot="0" count="2" xr9:uid="{00000000-0011-0000-FFFF-FFFF09000000}">
      <tableStyleElement type="firstRowStripe" dxfId="25"/>
      <tableStyleElement type="secondRowStripe" dxfId="24"/>
    </tableStyle>
    <tableStyle name="29 Juni -2 Juli  SUF Manado, Su-style" pivot="0" count="4" xr9:uid="{00000000-0011-0000-FFFF-FFFF0A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29 Juni -2 Juli  SUF Manado, Su-style 2" pivot="0" count="2" xr9:uid="{00000000-0011-0000-FFFF-FFFF0B000000}">
      <tableStyleElement type="firstRowStripe" dxfId="19"/>
      <tableStyleElement type="secondRowStripe" dxfId="18"/>
    </tableStyle>
    <tableStyle name="7-10 Juli 2026 SUF Bali-style" pivot="0" count="4" xr9:uid="{00000000-0011-0000-FFFF-FFFF0C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7-10 Juli 2026 SUF Bali-style 2" pivot="0" count="2" xr9:uid="{00000000-0011-0000-FFFF-FFFF0D000000}">
      <tableStyleElement type="firstRowStripe" dxfId="13"/>
      <tableStyleElement type="secondRowStripe" dxfId="12"/>
    </tableStyle>
    <tableStyle name="29-31 Juli 2026 GEMS Rinjani-style" pivot="0" count="4" xr9:uid="{00000000-0011-0000-FFFF-FFFF0E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11-14 Agustus 2026 GEMS Ciletuh-style" pivot="0" count="4" xr9:uid="{00000000-0011-0000-FFFF-FFFF0F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22-25 September 2026 GEMS Bali-style" pivot="0" count="4" xr9:uid="{00000000-0011-0000-FFFF-FFFF1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4" displayName="Table4" ref="A1:J31">
  <tableColumns count="10">
    <tableColumn id="1" xr3:uid="{00000000-0010-0000-0000-000001000000}" name="No. "/>
    <tableColumn id="2" xr3:uid="{00000000-0010-0000-0000-000002000000}" name="Nama"/>
    <tableColumn id="3" xr3:uid="{00000000-0010-0000-0000-000003000000}" name="Jenis Kelamin"/>
    <tableColumn id="4" xr3:uid="{00000000-0010-0000-0000-000004000000}" name="Sekolah"/>
    <tableColumn id="5" xr3:uid="{00000000-0010-0000-0000-000005000000}" name="Alamat Sekolah/Institusi"/>
    <tableColumn id="6" xr3:uid="{00000000-0010-0000-0000-000006000000}" name="Jenis Peserta"/>
    <tableColumn id="7" xr3:uid="{00000000-0010-0000-0000-000007000000}" name="Program/Bidang Studi yang diajar"/>
    <tableColumn id="8" xr3:uid="{00000000-0010-0000-0000-000008000000}" name="Latar Belakang Pendidikan (Contoh: S1 Pertanian)"/>
    <tableColumn id="9" xr3:uid="{00000000-0010-0000-0000-000009000000}" name="WhatsApp"/>
    <tableColumn id="10" xr3:uid="{00000000-0010-0000-0000-00000A000000}" name="Email"/>
  </tableColumns>
  <tableStyleInfo name="19-22 Mei SUF Semarang Jate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_3" displayName="Table_3" ref="K2:AD31" headerRowCount="0">
  <tableColumns count="20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</tableColumns>
  <tableStyleInfo name="19-22 Mei SUF Semarang Jateng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7" displayName="Table7" ref="A1:H30">
  <tableColumns count="8">
    <tableColumn id="1" xr3:uid="{00000000-0010-0000-0200-000001000000}" name="No."/>
    <tableColumn id="2" xr3:uid="{00000000-0010-0000-0200-000002000000}" name="Nama"/>
    <tableColumn id="3" xr3:uid="{00000000-0010-0000-0200-000003000000}" name="Jenis Kelamin"/>
    <tableColumn id="4" xr3:uid="{00000000-0010-0000-0200-000004000000}" name="Institusi"/>
    <tableColumn id="5" xr3:uid="{00000000-0010-0000-0200-000005000000}" name="E-mail"/>
    <tableColumn id="6" xr3:uid="{00000000-0010-0000-0200-000006000000}" name="Nomor Telepon/HP"/>
    <tableColumn id="7" xr3:uid="{00000000-0010-0000-0200-000007000000}" name="X (Bujur)"/>
    <tableColumn id="8" xr3:uid="{00000000-0010-0000-0200-000008000000}" name="Y (Lintang)"/>
  </tableColumns>
  <tableStyleInfo name="19-22 Mei SUF Balikpapan Kaltim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" displayName="Table1" ref="A1:H31">
  <tableColumns count="8">
    <tableColumn id="1" xr3:uid="{00000000-0010-0000-0300-000001000000}" name="No."/>
    <tableColumn id="2" xr3:uid="{00000000-0010-0000-0300-000002000000}" name="Nama"/>
    <tableColumn id="3" xr3:uid="{00000000-0010-0000-0300-000003000000}" name="Jenis Kelamin"/>
    <tableColumn id="4" xr3:uid="{00000000-0010-0000-0300-000004000000}" name="Institusi"/>
    <tableColumn id="5" xr3:uid="{00000000-0010-0000-0300-000005000000}" name="E-mail"/>
    <tableColumn id="6" xr3:uid="{00000000-0010-0000-0300-000006000000}" name="Nomor Telepon/HP"/>
    <tableColumn id="7" xr3:uid="{00000000-0010-0000-0300-000007000000}" name="X (Bujur)"/>
    <tableColumn id="8" xr3:uid="{00000000-0010-0000-0300-000008000000}" name="Y (Lintang)"/>
  </tableColumns>
  <tableStyleInfo name="23-26 Juni 2026 Pelatihan Kultu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_2" displayName="Table_2" ref="J7:L9" headerRowCount="0">
  <tableColumns count="3">
    <tableColumn id="1" xr3:uid="{00000000-0010-0000-0400-000001000000}" name="Column1"/>
    <tableColumn id="2" xr3:uid="{00000000-0010-0000-0400-000002000000}" name="Column2"/>
    <tableColumn id="3" xr3:uid="{00000000-0010-0000-0400-000003000000}" name="Column3"/>
  </tableColumns>
  <tableStyleInfo name="23-26 Juni 2026 Pelatihan Kultu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le_5" displayName="Table_5" ref="N9:P11" headerRowCount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name="23-26 Juni 2026 Pelatihan Kultu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Table_6" displayName="Table_6" ref="G32:J36" headerRowCount="0">
  <tableColumns count="4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</tableColumns>
  <tableStyleInfo name="23-26 Juni 2026 Pelatihan Kultu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Table1_2" displayName="Table1_2" ref="A1:I201">
  <tableColumns count="9">
    <tableColumn id="1" xr3:uid="{00000000-0010-0000-0700-000001000000}" name="No."/>
    <tableColumn id="2" xr3:uid="{00000000-0010-0000-0700-000002000000}" name="Nama"/>
    <tableColumn id="3" xr3:uid="{00000000-0010-0000-0700-000003000000}" name="Jenis Kelamin"/>
    <tableColumn id="4" xr3:uid="{00000000-0010-0000-0700-000004000000}" name="Institusi"/>
    <tableColumn id="5" xr3:uid="{00000000-0010-0000-0700-000005000000}" name="E-mail"/>
    <tableColumn id="6" xr3:uid="{00000000-0010-0000-0700-000006000000}" name="Column 1"/>
    <tableColumn id="7" xr3:uid="{00000000-0010-0000-0700-000007000000}" name="Nomor Telepon"/>
    <tableColumn id="8" xr3:uid="{00000000-0010-0000-0700-000008000000}" name="X (Bujur)"/>
    <tableColumn id="9" xr3:uid="{00000000-0010-0000-0700-000009000000}" name="Y (Lintang)"/>
  </tableColumns>
  <tableStyleInfo name="23 Juni 2026 Hybrid Webinar Kul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able_1" displayName="Table_1" ref="K7:M9" headerRowCount="0">
  <tableColumns count="3">
    <tableColumn id="1" xr3:uid="{00000000-0010-0000-0800-000001000000}" name="Column1"/>
    <tableColumn id="2" xr3:uid="{00000000-0010-0000-0800-000002000000}" name="Column2"/>
    <tableColumn id="3" xr3:uid="{00000000-0010-0000-0800-000003000000}" name="Column3"/>
  </tableColumns>
  <tableStyleInfo name="23 Juni 2026 Hybrid Webinar Kul-style 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9000000}" name="Table_4" displayName="Table_4" ref="K25:M36" headerRowCount="0">
  <tableColumns count="3">
    <tableColumn id="1" xr3:uid="{00000000-0010-0000-0900-000001000000}" name="Column1"/>
    <tableColumn id="2" xr3:uid="{00000000-0010-0000-0900-000002000000}" name="Column2"/>
    <tableColumn id="3" xr3:uid="{00000000-0010-0000-0900-000003000000}" name="Column3"/>
  </tableColumns>
  <tableStyleInfo name="23 Juni 2026 Hybrid Webinar Kul-style 3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_3" displayName="Table1_3" ref="A1:F18">
  <tableColumns count="6">
    <tableColumn id="1" xr3:uid="{00000000-0010-0000-0A00-000001000000}" name="No."/>
    <tableColumn id="2" xr3:uid="{00000000-0010-0000-0A00-000002000000}" name="Nama"/>
    <tableColumn id="3" xr3:uid="{00000000-0010-0000-0A00-000003000000}" name="Jenis Kelamin"/>
    <tableColumn id="4" xr3:uid="{00000000-0010-0000-0A00-000004000000}" name="Institusi"/>
    <tableColumn id="5" xr3:uid="{00000000-0010-0000-0A00-000005000000}" name="E-mail"/>
    <tableColumn id="6" xr3:uid="{00000000-0010-0000-0A00-000006000000}" name="Nomor Telepon/HP"/>
  </tableColumns>
  <tableStyleInfo name="29 Juni -2 Juli  SUF Manado, Su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7" displayName="Table_7" ref="G7:J11" headerRowCount="0">
  <tableColumns count="4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</tableColumns>
  <tableStyleInfo name="29 Juni -2 Juli  SUF Manado, Su-style 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3" displayName="Table3" ref="A1:H25">
  <tableColumns count="8">
    <tableColumn id="1" xr3:uid="{00000000-0010-0000-0C00-000001000000}" name="No."/>
    <tableColumn id="2" xr3:uid="{00000000-0010-0000-0C00-000002000000}" name="Nama"/>
    <tableColumn id="3" xr3:uid="{00000000-0010-0000-0C00-000003000000}" name="Jenis Kelamin"/>
    <tableColumn id="4" xr3:uid="{00000000-0010-0000-0C00-000004000000}" name="Institusi"/>
    <tableColumn id="5" xr3:uid="{00000000-0010-0000-0C00-000005000000}" name="E-mail"/>
    <tableColumn id="6" xr3:uid="{00000000-0010-0000-0C00-000006000000}" name="Nomor Telepon/HP"/>
    <tableColumn id="7" xr3:uid="{00000000-0010-0000-0C00-000007000000}" name="X (Lintang)"/>
    <tableColumn id="8" xr3:uid="{00000000-0010-0000-0C00-000008000000}" name="Y (Bujur)"/>
  </tableColumns>
  <tableStyleInfo name="7-10 Juli 2026 SUF Bali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8" displayName="Table_8" ref="J2:L3" headerRowCount="0">
  <tableColumns count="3">
    <tableColumn id="1" xr3:uid="{00000000-0010-0000-0D00-000001000000}" name="Column1"/>
    <tableColumn id="2" xr3:uid="{00000000-0010-0000-0D00-000002000000}" name="Column2"/>
    <tableColumn id="3" xr3:uid="{00000000-0010-0000-0D00-000003000000}" name="Column3"/>
  </tableColumns>
  <tableStyleInfo name="7-10 Juli 2026 SUF Bali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5" displayName="Table5" ref="A1:H120">
  <tableColumns count="8">
    <tableColumn id="1" xr3:uid="{00000000-0010-0000-0E00-000001000000}" name="No."/>
    <tableColumn id="2" xr3:uid="{00000000-0010-0000-0E00-000002000000}" name="Nama"/>
    <tableColumn id="3" xr3:uid="{00000000-0010-0000-0E00-000003000000}" name="Jenis Kelamin"/>
    <tableColumn id="4" xr3:uid="{00000000-0010-0000-0E00-000004000000}" name="Institusi"/>
    <tableColumn id="5" xr3:uid="{00000000-0010-0000-0E00-000005000000}" name="E-mail"/>
    <tableColumn id="6" xr3:uid="{00000000-0010-0000-0E00-000006000000}" name="Nomor Telepon/HP"/>
    <tableColumn id="7" xr3:uid="{00000000-0010-0000-0E00-000007000000}" name="X (Bujur)"/>
    <tableColumn id="8" xr3:uid="{00000000-0010-0000-0E00-000008000000}" name="Y (Lintang)"/>
  </tableColumns>
  <tableStyleInfo name="29-31 Juli 2026 GEMS Rinjani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6" displayName="Table6" ref="A1:H34">
  <tableColumns count="8">
    <tableColumn id="1" xr3:uid="{00000000-0010-0000-0F00-000001000000}" name="No."/>
    <tableColumn id="2" xr3:uid="{00000000-0010-0000-0F00-000002000000}" name="Nama"/>
    <tableColumn id="3" xr3:uid="{00000000-0010-0000-0F00-000003000000}" name="Jenis Kelamin"/>
    <tableColumn id="4" xr3:uid="{00000000-0010-0000-0F00-000004000000}" name="Institusi"/>
    <tableColumn id="5" xr3:uid="{00000000-0010-0000-0F00-000005000000}" name="E-mail"/>
    <tableColumn id="6" xr3:uid="{00000000-0010-0000-0F00-000006000000}" name="Nomor Telepon/HP"/>
    <tableColumn id="7" xr3:uid="{00000000-0010-0000-0F00-000007000000}" name="X (Bujur)"/>
    <tableColumn id="8" xr3:uid="{00000000-0010-0000-0F00-000008000000}" name="Y (Lintang)"/>
  </tableColumns>
  <tableStyleInfo name="11-14 Agustus 2026 GEMS Ciletuh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6_2" displayName="Table6_2" ref="A1:H28">
  <tableColumns count="8">
    <tableColumn id="1" xr3:uid="{00000000-0010-0000-1000-000001000000}" name="No."/>
    <tableColumn id="2" xr3:uid="{00000000-0010-0000-1000-000002000000}" name="Nama"/>
    <tableColumn id="3" xr3:uid="{00000000-0010-0000-1000-000003000000}" name="Jenis Kelamin"/>
    <tableColumn id="4" xr3:uid="{00000000-0010-0000-1000-000004000000}" name="Institusi"/>
    <tableColumn id="5" xr3:uid="{00000000-0010-0000-1000-000005000000}" name="E-mail"/>
    <tableColumn id="6" xr3:uid="{00000000-0010-0000-1000-000006000000}" name="Nomor Telepon/HP"/>
    <tableColumn id="7" xr3:uid="{00000000-0010-0000-1000-000007000000}" name="X (Bujur)"/>
    <tableColumn id="8" xr3:uid="{00000000-0010-0000-1000-000008000000}" name="Y (Lintang)"/>
  </tableColumns>
  <tableStyleInfo name="22-25 September 2026 GEMS Bal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.pd.sd/" TargetMode="External"/><Relationship Id="rId2" Type="http://schemas.openxmlformats.org/officeDocument/2006/relationships/hyperlink" Target="http://s.pd.sd/" TargetMode="External"/><Relationship Id="rId1" Type="http://schemas.openxmlformats.org/officeDocument/2006/relationships/hyperlink" Target="http://s.st/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m.si/" TargetMode="External"/><Relationship Id="rId2" Type="http://schemas.openxmlformats.org/officeDocument/2006/relationships/hyperlink" Target="http://m.si/" TargetMode="External"/><Relationship Id="rId1" Type="http://schemas.openxmlformats.org/officeDocument/2006/relationships/hyperlink" Target="http://s.si/" TargetMode="Externa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hyperlink" Target="https://sekolah.data.kemendikdasmen.go.id/profil-sekolah/A727F1D8-9193-4174-B384-7437E911753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0"/>
  <sheetViews>
    <sheetView topLeftCell="E1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2.6640625" customWidth="1"/>
    <col min="2" max="2" width="32.109375" customWidth="1"/>
    <col min="3" max="3" width="19.33203125" customWidth="1"/>
    <col min="4" max="4" width="22.88671875" customWidth="1"/>
    <col min="5" max="5" width="12.6640625" customWidth="1"/>
    <col min="6" max="6" width="21.6640625" customWidth="1"/>
    <col min="7" max="7" width="28.109375" customWidth="1"/>
    <col min="8" max="8" width="43" customWidth="1"/>
    <col min="9" max="9" width="14.33203125" customWidth="1"/>
    <col min="10" max="10" width="35.109375" customWidth="1"/>
    <col min="11" max="12" width="19.21875" customWidth="1"/>
  </cols>
  <sheetData>
    <row r="1" spans="1:30" ht="22.5" customHeight="1" x14ac:dyDescent="0.25">
      <c r="A1" s="2" t="s">
        <v>1</v>
      </c>
      <c r="B1" s="2" t="s">
        <v>2</v>
      </c>
      <c r="C1" s="2" t="s">
        <v>3</v>
      </c>
      <c r="D1" s="2" t="s">
        <v>5</v>
      </c>
      <c r="E1" s="2" t="s">
        <v>7</v>
      </c>
      <c r="F1" s="2" t="s">
        <v>9</v>
      </c>
      <c r="G1" s="2" t="s">
        <v>12</v>
      </c>
      <c r="H1" s="2" t="s">
        <v>14</v>
      </c>
      <c r="I1" s="2" t="s">
        <v>15</v>
      </c>
      <c r="J1" s="7" t="s">
        <v>17</v>
      </c>
      <c r="K1" s="9" t="s">
        <v>13</v>
      </c>
      <c r="L1" s="9" t="s">
        <v>18</v>
      </c>
      <c r="M1" s="10"/>
      <c r="N1" s="12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ht="22.5" customHeight="1" x14ac:dyDescent="0.25">
      <c r="A2" s="15">
        <v>1</v>
      </c>
      <c r="B2" s="19" t="s">
        <v>21</v>
      </c>
      <c r="C2" s="25" t="s">
        <v>20</v>
      </c>
      <c r="D2" s="19" t="s">
        <v>31</v>
      </c>
      <c r="E2" s="31"/>
      <c r="F2" s="33" t="s">
        <v>34</v>
      </c>
      <c r="G2" s="36" t="s">
        <v>38</v>
      </c>
      <c r="H2" s="36" t="s">
        <v>40</v>
      </c>
      <c r="I2" s="39" t="s">
        <v>41</v>
      </c>
      <c r="J2" s="41" t="s">
        <v>43</v>
      </c>
      <c r="K2" s="26" t="s">
        <v>45</v>
      </c>
      <c r="L2" s="26" t="s">
        <v>47</v>
      </c>
      <c r="M2" s="43"/>
      <c r="N2" s="45"/>
      <c r="O2" s="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</row>
    <row r="3" spans="1:30" ht="22.5" customHeight="1" x14ac:dyDescent="0.25">
      <c r="A3" s="53">
        <v>2</v>
      </c>
      <c r="B3" s="55" t="s">
        <v>60</v>
      </c>
      <c r="C3" s="57" t="s">
        <v>20</v>
      </c>
      <c r="D3" s="55" t="s">
        <v>64</v>
      </c>
      <c r="E3" s="58"/>
      <c r="F3" s="59" t="s">
        <v>34</v>
      </c>
      <c r="G3" s="60" t="s">
        <v>75</v>
      </c>
      <c r="H3" s="60" t="s">
        <v>79</v>
      </c>
      <c r="I3" s="61" t="s">
        <v>80</v>
      </c>
      <c r="J3" s="62" t="s">
        <v>83</v>
      </c>
      <c r="K3" s="26" t="s">
        <v>86</v>
      </c>
      <c r="L3" s="26" t="s">
        <v>88</v>
      </c>
      <c r="M3" s="43"/>
      <c r="N3" s="45"/>
      <c r="O3" s="8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1:30" ht="22.5" customHeight="1" x14ac:dyDescent="0.25">
      <c r="A4" s="15">
        <v>3</v>
      </c>
      <c r="B4" s="67" t="s">
        <v>100</v>
      </c>
      <c r="C4" s="25" t="s">
        <v>20</v>
      </c>
      <c r="D4" s="19" t="s">
        <v>114</v>
      </c>
      <c r="E4" s="31"/>
      <c r="F4" s="69" t="s">
        <v>34</v>
      </c>
      <c r="G4" s="19" t="s">
        <v>121</v>
      </c>
      <c r="H4" s="19" t="s">
        <v>122</v>
      </c>
      <c r="I4" s="39" t="s">
        <v>124</v>
      </c>
      <c r="J4" s="41" t="s">
        <v>125</v>
      </c>
      <c r="K4" s="26" t="s">
        <v>128</v>
      </c>
      <c r="L4" s="26" t="s">
        <v>129</v>
      </c>
      <c r="M4" s="43"/>
      <c r="N4" s="45"/>
      <c r="O4" s="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</row>
    <row r="5" spans="1:30" ht="22.5" customHeight="1" x14ac:dyDescent="0.25">
      <c r="A5" s="53">
        <v>4</v>
      </c>
      <c r="B5" s="55" t="s">
        <v>133</v>
      </c>
      <c r="C5" s="57" t="s">
        <v>20</v>
      </c>
      <c r="D5" s="55" t="s">
        <v>137</v>
      </c>
      <c r="E5" s="58"/>
      <c r="F5" s="74" t="s">
        <v>34</v>
      </c>
      <c r="G5" s="75" t="s">
        <v>141</v>
      </c>
      <c r="H5" s="75" t="s">
        <v>145</v>
      </c>
      <c r="I5" s="61" t="s">
        <v>147</v>
      </c>
      <c r="J5" s="62" t="s">
        <v>149</v>
      </c>
      <c r="K5" s="26" t="s">
        <v>151</v>
      </c>
      <c r="L5" s="26" t="s">
        <v>152</v>
      </c>
      <c r="M5" s="43"/>
      <c r="N5" s="45"/>
      <c r="O5" s="8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</row>
    <row r="6" spans="1:30" ht="22.5" customHeight="1" x14ac:dyDescent="0.25">
      <c r="A6" s="15">
        <v>5</v>
      </c>
      <c r="B6" s="19" t="s">
        <v>155</v>
      </c>
      <c r="C6" s="25" t="s">
        <v>20</v>
      </c>
      <c r="D6" s="19" t="s">
        <v>158</v>
      </c>
      <c r="E6" s="31"/>
      <c r="F6" s="33" t="s">
        <v>34</v>
      </c>
      <c r="G6" s="36" t="s">
        <v>163</v>
      </c>
      <c r="H6" s="36" t="s">
        <v>166</v>
      </c>
      <c r="I6" s="39" t="s">
        <v>168</v>
      </c>
      <c r="J6" s="41" t="s">
        <v>174</v>
      </c>
      <c r="K6" s="26" t="s">
        <v>176</v>
      </c>
      <c r="L6" s="26" t="s">
        <v>177</v>
      </c>
      <c r="M6" s="43"/>
      <c r="N6" s="80"/>
      <c r="O6" s="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 spans="1:30" ht="22.5" customHeight="1" x14ac:dyDescent="0.25">
      <c r="A7" s="53">
        <v>6</v>
      </c>
      <c r="B7" s="55" t="s">
        <v>181</v>
      </c>
      <c r="C7" s="81" t="s">
        <v>44</v>
      </c>
      <c r="D7" s="55" t="s">
        <v>187</v>
      </c>
      <c r="E7" s="58"/>
      <c r="F7" s="83" t="s">
        <v>34</v>
      </c>
      <c r="G7" s="55" t="s">
        <v>121</v>
      </c>
      <c r="H7" s="55" t="s">
        <v>194</v>
      </c>
      <c r="I7" s="61" t="s">
        <v>196</v>
      </c>
      <c r="J7" s="62" t="s">
        <v>199</v>
      </c>
      <c r="K7" s="26" t="s">
        <v>202</v>
      </c>
      <c r="L7" s="26" t="s">
        <v>203</v>
      </c>
      <c r="M7" s="43"/>
      <c r="N7" s="45"/>
      <c r="O7" s="8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</row>
    <row r="8" spans="1:30" ht="22.5" customHeight="1" x14ac:dyDescent="0.25">
      <c r="A8" s="15">
        <v>7</v>
      </c>
      <c r="B8" s="19" t="s">
        <v>206</v>
      </c>
      <c r="C8" s="86" t="s">
        <v>44</v>
      </c>
      <c r="D8" s="19" t="s">
        <v>212</v>
      </c>
      <c r="E8" s="31"/>
      <c r="F8" s="69" t="s">
        <v>34</v>
      </c>
      <c r="G8" s="19" t="s">
        <v>121</v>
      </c>
      <c r="H8" s="19" t="s">
        <v>218</v>
      </c>
      <c r="I8" s="39" t="s">
        <v>223</v>
      </c>
      <c r="J8" s="41" t="s">
        <v>226</v>
      </c>
      <c r="K8" s="26" t="s">
        <v>229</v>
      </c>
      <c r="L8" s="26" t="s">
        <v>230</v>
      </c>
      <c r="M8" s="87"/>
      <c r="N8" s="89"/>
      <c r="O8" s="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 spans="1:30" ht="22.5" customHeight="1" x14ac:dyDescent="0.25">
      <c r="A9" s="53">
        <v>8</v>
      </c>
      <c r="B9" s="55" t="s">
        <v>236</v>
      </c>
      <c r="C9" s="57" t="s">
        <v>20</v>
      </c>
      <c r="D9" s="55" t="s">
        <v>240</v>
      </c>
      <c r="E9" s="58"/>
      <c r="F9" s="91" t="s">
        <v>247</v>
      </c>
      <c r="G9" s="75" t="s">
        <v>34</v>
      </c>
      <c r="H9" s="75" t="s">
        <v>254</v>
      </c>
      <c r="I9" s="61" t="s">
        <v>255</v>
      </c>
      <c r="J9" s="62" t="s">
        <v>257</v>
      </c>
      <c r="K9" s="26" t="s">
        <v>259</v>
      </c>
      <c r="L9" s="26" t="s">
        <v>260</v>
      </c>
      <c r="M9" s="43"/>
      <c r="N9" s="45"/>
      <c r="O9" s="8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</row>
    <row r="10" spans="1:30" ht="22.5" customHeight="1" x14ac:dyDescent="0.25">
      <c r="A10" s="15">
        <v>9</v>
      </c>
      <c r="B10" s="19" t="s">
        <v>269</v>
      </c>
      <c r="C10" s="86" t="s">
        <v>44</v>
      </c>
      <c r="D10" s="19" t="s">
        <v>274</v>
      </c>
      <c r="E10" s="31"/>
      <c r="F10" s="69" t="s">
        <v>34</v>
      </c>
      <c r="G10" s="19" t="s">
        <v>141</v>
      </c>
      <c r="H10" s="19" t="s">
        <v>281</v>
      </c>
      <c r="I10" s="39" t="s">
        <v>284</v>
      </c>
      <c r="J10" s="41" t="s">
        <v>287</v>
      </c>
      <c r="K10" s="26" t="s">
        <v>290</v>
      </c>
      <c r="L10" s="26" t="s">
        <v>291</v>
      </c>
      <c r="M10" s="43"/>
      <c r="N10" s="45"/>
      <c r="O10" s="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 spans="1:30" ht="22.5" customHeight="1" x14ac:dyDescent="0.25">
      <c r="A11" s="53">
        <v>10</v>
      </c>
      <c r="B11" s="55" t="s">
        <v>297</v>
      </c>
      <c r="C11" s="81" t="s">
        <v>44</v>
      </c>
      <c r="D11" s="55" t="s">
        <v>301</v>
      </c>
      <c r="E11" s="58"/>
      <c r="F11" s="83" t="s">
        <v>34</v>
      </c>
      <c r="G11" s="55" t="s">
        <v>308</v>
      </c>
      <c r="H11" s="55" t="s">
        <v>311</v>
      </c>
      <c r="I11" s="61" t="s">
        <v>313</v>
      </c>
      <c r="J11" s="62" t="s">
        <v>317</v>
      </c>
      <c r="K11" s="26" t="s">
        <v>320</v>
      </c>
      <c r="L11" s="26" t="s">
        <v>322</v>
      </c>
      <c r="M11" s="43"/>
      <c r="N11" s="45"/>
      <c r="O11" s="8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</row>
    <row r="12" spans="1:30" ht="22.5" customHeight="1" x14ac:dyDescent="0.25">
      <c r="A12" s="15">
        <v>11</v>
      </c>
      <c r="B12" s="19" t="s">
        <v>325</v>
      </c>
      <c r="C12" s="25" t="s">
        <v>20</v>
      </c>
      <c r="D12" s="19" t="s">
        <v>332</v>
      </c>
      <c r="E12" s="31"/>
      <c r="F12" s="69" t="s">
        <v>34</v>
      </c>
      <c r="G12" s="19" t="s">
        <v>339</v>
      </c>
      <c r="H12" s="19" t="s">
        <v>342</v>
      </c>
      <c r="I12" s="39" t="s">
        <v>343</v>
      </c>
      <c r="J12" s="41" t="s">
        <v>346</v>
      </c>
      <c r="K12" s="26" t="s">
        <v>347</v>
      </c>
      <c r="L12" s="26" t="s">
        <v>349</v>
      </c>
      <c r="M12" s="43"/>
      <c r="N12" s="45"/>
      <c r="O12" s="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 spans="1:30" ht="22.5" customHeight="1" x14ac:dyDescent="0.25">
      <c r="A13" s="53">
        <v>12</v>
      </c>
      <c r="B13" s="55" t="s">
        <v>358</v>
      </c>
      <c r="C13" s="81" t="s">
        <v>44</v>
      </c>
      <c r="D13" s="55" t="s">
        <v>361</v>
      </c>
      <c r="E13" s="58"/>
      <c r="F13" s="92" t="s">
        <v>34</v>
      </c>
      <c r="G13" s="93" t="s">
        <v>367</v>
      </c>
      <c r="H13" s="93" t="s">
        <v>281</v>
      </c>
      <c r="I13" s="61" t="s">
        <v>373</v>
      </c>
      <c r="J13" s="62" t="s">
        <v>376</v>
      </c>
      <c r="K13" s="26" t="s">
        <v>381</v>
      </c>
      <c r="L13" s="26" t="s">
        <v>385</v>
      </c>
      <c r="M13" s="87"/>
      <c r="N13" s="89"/>
      <c r="O13" s="8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</row>
    <row r="14" spans="1:30" ht="22.5" customHeight="1" x14ac:dyDescent="0.25">
      <c r="A14" s="15">
        <v>13</v>
      </c>
      <c r="B14" s="19" t="s">
        <v>391</v>
      </c>
      <c r="C14" s="86" t="s">
        <v>44</v>
      </c>
      <c r="D14" s="19" t="s">
        <v>399</v>
      </c>
      <c r="E14" s="31"/>
      <c r="F14" s="69" t="s">
        <v>34</v>
      </c>
      <c r="G14" s="19" t="s">
        <v>403</v>
      </c>
      <c r="H14" s="19" t="s">
        <v>406</v>
      </c>
      <c r="I14" s="39" t="s">
        <v>409</v>
      </c>
      <c r="J14" s="41" t="s">
        <v>412</v>
      </c>
      <c r="K14" s="26" t="s">
        <v>415</v>
      </c>
      <c r="L14" s="26" t="s">
        <v>417</v>
      </c>
      <c r="M14" s="43"/>
      <c r="N14" s="45"/>
      <c r="O14" s="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 spans="1:30" ht="22.5" customHeight="1" x14ac:dyDescent="0.25">
      <c r="A15" s="53">
        <v>14</v>
      </c>
      <c r="B15" s="55" t="s">
        <v>424</v>
      </c>
      <c r="C15" s="81" t="s">
        <v>44</v>
      </c>
      <c r="D15" s="55" t="s">
        <v>428</v>
      </c>
      <c r="E15" s="58"/>
      <c r="F15" s="95" t="s">
        <v>34</v>
      </c>
      <c r="G15" s="96" t="s">
        <v>435</v>
      </c>
      <c r="H15" s="96" t="s">
        <v>440</v>
      </c>
      <c r="I15" s="61" t="s">
        <v>442</v>
      </c>
      <c r="J15" s="62" t="s">
        <v>445</v>
      </c>
      <c r="K15" s="26" t="s">
        <v>448</v>
      </c>
      <c r="L15" s="26" t="s">
        <v>450</v>
      </c>
      <c r="M15" s="43"/>
      <c r="N15" s="45"/>
      <c r="O15" s="8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</row>
    <row r="16" spans="1:30" ht="22.5" customHeight="1" x14ac:dyDescent="0.25">
      <c r="A16" s="15">
        <v>15</v>
      </c>
      <c r="B16" s="19" t="s">
        <v>454</v>
      </c>
      <c r="C16" s="25" t="s">
        <v>20</v>
      </c>
      <c r="D16" s="19" t="s">
        <v>460</v>
      </c>
      <c r="E16" s="31"/>
      <c r="F16" s="97" t="s">
        <v>467</v>
      </c>
      <c r="G16" s="19" t="s">
        <v>470</v>
      </c>
      <c r="H16" s="19" t="s">
        <v>471</v>
      </c>
      <c r="I16" s="39" t="s">
        <v>475</v>
      </c>
      <c r="J16" s="41" t="s">
        <v>478</v>
      </c>
      <c r="K16" s="26" t="s">
        <v>482</v>
      </c>
      <c r="L16" s="26" t="s">
        <v>484</v>
      </c>
      <c r="M16" s="43"/>
      <c r="N16" s="45"/>
      <c r="O16" s="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 spans="1:30" ht="22.5" customHeight="1" x14ac:dyDescent="0.25">
      <c r="A17" s="53">
        <v>16</v>
      </c>
      <c r="B17" s="55" t="s">
        <v>489</v>
      </c>
      <c r="C17" s="81" t="s">
        <v>44</v>
      </c>
      <c r="D17" s="55" t="s">
        <v>493</v>
      </c>
      <c r="E17" s="58"/>
      <c r="F17" s="95" t="s">
        <v>34</v>
      </c>
      <c r="G17" s="96" t="s">
        <v>141</v>
      </c>
      <c r="H17" s="96" t="s">
        <v>281</v>
      </c>
      <c r="I17" s="61" t="s">
        <v>508</v>
      </c>
      <c r="J17" s="62" t="s">
        <v>510</v>
      </c>
      <c r="K17" s="26" t="s">
        <v>512</v>
      </c>
      <c r="L17" s="26" t="s">
        <v>514</v>
      </c>
      <c r="M17" s="43"/>
      <c r="N17" s="45"/>
      <c r="O17" s="8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</row>
    <row r="18" spans="1:30" ht="22.5" customHeight="1" x14ac:dyDescent="0.25">
      <c r="A18" s="15">
        <v>17</v>
      </c>
      <c r="B18" s="67" t="s">
        <v>523</v>
      </c>
      <c r="C18" s="25" t="s">
        <v>20</v>
      </c>
      <c r="D18" s="19" t="s">
        <v>536</v>
      </c>
      <c r="E18" s="31"/>
      <c r="F18" s="69" t="s">
        <v>34</v>
      </c>
      <c r="G18" s="19" t="s">
        <v>546</v>
      </c>
      <c r="H18" s="19" t="s">
        <v>549</v>
      </c>
      <c r="I18" s="39" t="s">
        <v>552</v>
      </c>
      <c r="J18" s="41" t="s">
        <v>553</v>
      </c>
      <c r="K18" s="26" t="s">
        <v>558</v>
      </c>
      <c r="L18" s="26" t="s">
        <v>560</v>
      </c>
      <c r="M18" s="43"/>
      <c r="N18" s="45"/>
      <c r="O18" s="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 spans="1:30" ht="22.5" customHeight="1" x14ac:dyDescent="0.25">
      <c r="A19" s="53">
        <v>18</v>
      </c>
      <c r="B19" s="55" t="s">
        <v>567</v>
      </c>
      <c r="C19" s="57" t="s">
        <v>20</v>
      </c>
      <c r="D19" s="55" t="s">
        <v>571</v>
      </c>
      <c r="E19" s="58"/>
      <c r="F19" s="95" t="s">
        <v>34</v>
      </c>
      <c r="G19" s="96" t="s">
        <v>575</v>
      </c>
      <c r="H19" s="96" t="s">
        <v>578</v>
      </c>
      <c r="I19" s="61" t="s">
        <v>581</v>
      </c>
      <c r="J19" s="62" t="s">
        <v>585</v>
      </c>
      <c r="K19" s="26" t="s">
        <v>589</v>
      </c>
      <c r="L19" s="26" t="s">
        <v>590</v>
      </c>
      <c r="M19" s="43"/>
      <c r="N19" s="45"/>
      <c r="O19" s="8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</row>
    <row r="20" spans="1:30" ht="22.5" customHeight="1" x14ac:dyDescent="0.25">
      <c r="A20" s="15">
        <v>19</v>
      </c>
      <c r="B20" s="67" t="s">
        <v>596</v>
      </c>
      <c r="C20" s="25" t="s">
        <v>20</v>
      </c>
      <c r="D20" s="19" t="s">
        <v>599</v>
      </c>
      <c r="E20" s="31"/>
      <c r="F20" s="102" t="s">
        <v>247</v>
      </c>
      <c r="G20" s="103" t="s">
        <v>247</v>
      </c>
      <c r="H20" s="103" t="s">
        <v>549</v>
      </c>
      <c r="I20" s="39" t="s">
        <v>605</v>
      </c>
      <c r="J20" s="41" t="s">
        <v>607</v>
      </c>
      <c r="K20" s="26" t="s">
        <v>608</v>
      </c>
      <c r="L20" s="26" t="s">
        <v>609</v>
      </c>
      <c r="M20" s="43"/>
      <c r="N20" s="45"/>
      <c r="O20" s="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 spans="1:30" ht="22.5" customHeight="1" x14ac:dyDescent="0.25">
      <c r="A21" s="53">
        <v>20</v>
      </c>
      <c r="B21" s="55" t="s">
        <v>615</v>
      </c>
      <c r="C21" s="81" t="s">
        <v>44</v>
      </c>
      <c r="D21" s="55" t="s">
        <v>618</v>
      </c>
      <c r="E21" s="58"/>
      <c r="F21" s="104" t="s">
        <v>470</v>
      </c>
      <c r="G21" s="55" t="s">
        <v>621</v>
      </c>
      <c r="H21" s="55" t="s">
        <v>622</v>
      </c>
      <c r="I21" s="61" t="s">
        <v>624</v>
      </c>
      <c r="J21" s="62" t="s">
        <v>626</v>
      </c>
      <c r="K21" s="26" t="s">
        <v>628</v>
      </c>
      <c r="L21" s="26" t="s">
        <v>630</v>
      </c>
      <c r="M21" s="43"/>
      <c r="N21" s="45"/>
      <c r="O21" s="8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</row>
    <row r="22" spans="1:30" ht="22.5" customHeight="1" x14ac:dyDescent="0.25">
      <c r="A22" s="15">
        <v>21</v>
      </c>
      <c r="B22" s="19" t="s">
        <v>632</v>
      </c>
      <c r="C22" s="86" t="s">
        <v>44</v>
      </c>
      <c r="D22" s="19" t="s">
        <v>634</v>
      </c>
      <c r="E22" s="31"/>
      <c r="F22" s="110" t="s">
        <v>34</v>
      </c>
      <c r="G22" s="111" t="s">
        <v>121</v>
      </c>
      <c r="H22" s="111" t="s">
        <v>637</v>
      </c>
      <c r="I22" s="39" t="s">
        <v>638</v>
      </c>
      <c r="J22" s="41" t="s">
        <v>639</v>
      </c>
      <c r="K22" s="26" t="s">
        <v>640</v>
      </c>
      <c r="L22" s="26" t="s">
        <v>641</v>
      </c>
      <c r="M22" s="43"/>
      <c r="N22" s="45"/>
      <c r="O22" s="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 spans="1:30" ht="22.5" customHeight="1" x14ac:dyDescent="0.25">
      <c r="A23" s="53">
        <v>22</v>
      </c>
      <c r="B23" s="55" t="s">
        <v>643</v>
      </c>
      <c r="C23" s="81" t="s">
        <v>44</v>
      </c>
      <c r="D23" s="55" t="s">
        <v>645</v>
      </c>
      <c r="E23" s="58"/>
      <c r="F23" s="92" t="s">
        <v>34</v>
      </c>
      <c r="G23" s="93" t="s">
        <v>647</v>
      </c>
      <c r="H23" s="93" t="s">
        <v>648</v>
      </c>
      <c r="I23" s="61" t="s">
        <v>649</v>
      </c>
      <c r="J23" s="62" t="s">
        <v>650</v>
      </c>
      <c r="K23" s="26" t="s">
        <v>652</v>
      </c>
      <c r="L23" s="26" t="s">
        <v>653</v>
      </c>
      <c r="M23" s="43"/>
      <c r="N23" s="80"/>
      <c r="O23" s="8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</row>
    <row r="24" spans="1:30" ht="22.5" customHeight="1" x14ac:dyDescent="0.25">
      <c r="A24" s="15">
        <v>23</v>
      </c>
      <c r="B24" s="19" t="s">
        <v>656</v>
      </c>
      <c r="C24" s="25" t="s">
        <v>20</v>
      </c>
      <c r="D24" s="19" t="s">
        <v>659</v>
      </c>
      <c r="E24" s="31"/>
      <c r="F24" s="33" t="s">
        <v>34</v>
      </c>
      <c r="G24" s="36" t="s">
        <v>141</v>
      </c>
      <c r="H24" s="36" t="s">
        <v>281</v>
      </c>
      <c r="I24" s="39" t="s">
        <v>662</v>
      </c>
      <c r="J24" s="41" t="s">
        <v>664</v>
      </c>
      <c r="K24" s="26" t="s">
        <v>666</v>
      </c>
      <c r="L24" s="26" t="s">
        <v>667</v>
      </c>
      <c r="M24" s="87"/>
      <c r="N24" s="89"/>
      <c r="O24" s="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 spans="1:30" ht="22.5" customHeight="1" x14ac:dyDescent="0.25">
      <c r="A25" s="53">
        <v>24</v>
      </c>
      <c r="B25" s="55" t="s">
        <v>671</v>
      </c>
      <c r="C25" s="81" t="s">
        <v>44</v>
      </c>
      <c r="D25" s="55" t="s">
        <v>672</v>
      </c>
      <c r="E25" s="58"/>
      <c r="F25" s="92" t="s">
        <v>34</v>
      </c>
      <c r="G25" s="93" t="s">
        <v>675</v>
      </c>
      <c r="H25" s="93" t="s">
        <v>549</v>
      </c>
      <c r="I25" s="61" t="s">
        <v>678</v>
      </c>
      <c r="J25" s="62" t="s">
        <v>680</v>
      </c>
      <c r="K25" s="26" t="s">
        <v>682</v>
      </c>
      <c r="L25" s="26" t="s">
        <v>683</v>
      </c>
      <c r="M25" s="43"/>
      <c r="N25" s="45"/>
      <c r="O25" s="8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</row>
    <row r="26" spans="1:30" ht="22.5" customHeight="1" x14ac:dyDescent="0.25">
      <c r="A26" s="15">
        <v>25</v>
      </c>
      <c r="B26" s="19" t="s">
        <v>685</v>
      </c>
      <c r="C26" s="25" t="s">
        <v>20</v>
      </c>
      <c r="D26" s="19" t="s">
        <v>688</v>
      </c>
      <c r="E26" s="31"/>
      <c r="F26" s="69" t="s">
        <v>34</v>
      </c>
      <c r="G26" s="19" t="s">
        <v>141</v>
      </c>
      <c r="H26" s="19" t="s">
        <v>690</v>
      </c>
      <c r="I26" s="39" t="s">
        <v>691</v>
      </c>
      <c r="J26" s="41" t="s">
        <v>692</v>
      </c>
      <c r="K26" s="26" t="s">
        <v>694</v>
      </c>
      <c r="L26" s="26" t="s">
        <v>695</v>
      </c>
      <c r="M26" s="43"/>
      <c r="N26" s="45"/>
      <c r="O26" s="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 spans="1:30" ht="22.5" customHeight="1" x14ac:dyDescent="0.25">
      <c r="A27" s="53">
        <v>26</v>
      </c>
      <c r="B27" s="55" t="s">
        <v>697</v>
      </c>
      <c r="C27" s="81" t="s">
        <v>44</v>
      </c>
      <c r="D27" s="55" t="s">
        <v>701</v>
      </c>
      <c r="E27" s="58"/>
      <c r="F27" s="92" t="s">
        <v>34</v>
      </c>
      <c r="G27" s="93" t="s">
        <v>703</v>
      </c>
      <c r="H27" s="93" t="s">
        <v>549</v>
      </c>
      <c r="I27" s="61" t="s">
        <v>706</v>
      </c>
      <c r="J27" s="62" t="s">
        <v>709</v>
      </c>
      <c r="K27" s="26" t="s">
        <v>711</v>
      </c>
      <c r="L27" s="26" t="s">
        <v>712</v>
      </c>
      <c r="M27" s="43"/>
      <c r="N27" s="45"/>
      <c r="O27" s="8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</row>
    <row r="28" spans="1:30" ht="22.5" customHeight="1" x14ac:dyDescent="0.25">
      <c r="A28" s="15">
        <v>27</v>
      </c>
      <c r="B28" s="19" t="s">
        <v>717</v>
      </c>
      <c r="C28" s="25" t="s">
        <v>20</v>
      </c>
      <c r="D28" s="19" t="s">
        <v>722</v>
      </c>
      <c r="E28" s="31"/>
      <c r="F28" s="33" t="s">
        <v>34</v>
      </c>
      <c r="G28" s="36" t="s">
        <v>727</v>
      </c>
      <c r="H28" s="36" t="s">
        <v>730</v>
      </c>
      <c r="I28" s="39" t="s">
        <v>732</v>
      </c>
      <c r="J28" s="41" t="s">
        <v>734</v>
      </c>
      <c r="K28" s="26" t="s">
        <v>737</v>
      </c>
      <c r="L28" s="26" t="s">
        <v>738</v>
      </c>
      <c r="M28" s="43"/>
      <c r="N28" s="45"/>
      <c r="O28" s="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 spans="1:30" ht="22.5" customHeight="1" x14ac:dyDescent="0.25">
      <c r="A29" s="53">
        <v>28</v>
      </c>
      <c r="B29" s="55" t="s">
        <v>741</v>
      </c>
      <c r="C29" s="81" t="s">
        <v>44</v>
      </c>
      <c r="D29" s="55" t="s">
        <v>746</v>
      </c>
      <c r="E29" s="58"/>
      <c r="F29" s="95" t="s">
        <v>34</v>
      </c>
      <c r="G29" s="96" t="s">
        <v>751</v>
      </c>
      <c r="H29" s="96" t="s">
        <v>754</v>
      </c>
      <c r="I29" s="61" t="s">
        <v>756</v>
      </c>
      <c r="J29" s="62" t="s">
        <v>758</v>
      </c>
      <c r="K29" s="26" t="s">
        <v>761</v>
      </c>
      <c r="L29" s="26" t="s">
        <v>762</v>
      </c>
      <c r="M29" s="43"/>
      <c r="N29" s="45"/>
      <c r="O29" s="8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</row>
    <row r="30" spans="1:30" ht="22.5" customHeight="1" x14ac:dyDescent="0.25">
      <c r="A30" s="15">
        <v>29</v>
      </c>
      <c r="B30" s="19" t="s">
        <v>767</v>
      </c>
      <c r="C30" s="86" t="s">
        <v>44</v>
      </c>
      <c r="D30" s="19" t="s">
        <v>772</v>
      </c>
      <c r="E30" s="31"/>
      <c r="F30" s="97" t="s">
        <v>467</v>
      </c>
      <c r="G30" s="19" t="s">
        <v>780</v>
      </c>
      <c r="H30" s="19" t="s">
        <v>783</v>
      </c>
      <c r="I30" s="39" t="s">
        <v>784</v>
      </c>
      <c r="J30" s="41" t="s">
        <v>786</v>
      </c>
      <c r="K30" s="26" t="s">
        <v>788</v>
      </c>
      <c r="L30" s="26" t="s">
        <v>789</v>
      </c>
      <c r="M30" s="43"/>
      <c r="N30" s="45"/>
      <c r="O30" s="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 spans="1:30" ht="22.5" customHeight="1" x14ac:dyDescent="0.25">
      <c r="A31" s="128">
        <v>30</v>
      </c>
      <c r="B31" s="129" t="s">
        <v>797</v>
      </c>
      <c r="C31" s="130" t="s">
        <v>44</v>
      </c>
      <c r="D31" s="129" t="s">
        <v>802</v>
      </c>
      <c r="E31" s="131"/>
      <c r="F31" s="132" t="s">
        <v>34</v>
      </c>
      <c r="G31" s="133" t="s">
        <v>75</v>
      </c>
      <c r="H31" s="133" t="s">
        <v>814</v>
      </c>
      <c r="I31" s="134" t="s">
        <v>817</v>
      </c>
      <c r="J31" s="135" t="s">
        <v>819</v>
      </c>
      <c r="K31" s="26" t="s">
        <v>821</v>
      </c>
      <c r="L31" s="26" t="s">
        <v>822</v>
      </c>
      <c r="M31" s="43"/>
      <c r="N31" s="45"/>
      <c r="O31" s="8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</row>
    <row r="32" spans="1:30" ht="15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137"/>
      <c r="L32" s="137"/>
      <c r="M32" s="8"/>
      <c r="N32" s="13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5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137"/>
      <c r="L33" s="137"/>
      <c r="M33" s="8"/>
      <c r="N33" s="13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5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137"/>
      <c r="L34" s="137"/>
      <c r="M34" s="8"/>
      <c r="N34" s="13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5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137"/>
      <c r="L35" s="137"/>
      <c r="M35" s="8"/>
      <c r="N35" s="13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137"/>
      <c r="L36" s="137"/>
      <c r="M36" s="8"/>
      <c r="N36" s="13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5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137"/>
      <c r="L37" s="137"/>
      <c r="M37" s="8"/>
      <c r="N37" s="13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5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137"/>
      <c r="L38" s="137"/>
      <c r="M38" s="8"/>
      <c r="N38" s="13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5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137"/>
      <c r="L39" s="137"/>
      <c r="M39" s="8"/>
      <c r="N39" s="13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137"/>
      <c r="L40" s="137"/>
      <c r="M40" s="8"/>
      <c r="N40" s="13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137"/>
      <c r="L41" s="137"/>
      <c r="M41" s="8"/>
      <c r="N41" s="13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137"/>
      <c r="L42" s="137"/>
      <c r="M42" s="8"/>
      <c r="N42" s="13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137"/>
      <c r="L43" s="137"/>
      <c r="M43" s="8"/>
      <c r="N43" s="13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137"/>
      <c r="L44" s="137"/>
      <c r="M44" s="8"/>
      <c r="N44" s="13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137"/>
      <c r="L45" s="137"/>
      <c r="M45" s="8"/>
      <c r="N45" s="13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137"/>
      <c r="L46" s="137"/>
      <c r="M46" s="8"/>
      <c r="N46" s="13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137"/>
      <c r="L47" s="137"/>
      <c r="M47" s="8"/>
      <c r="N47" s="13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137"/>
      <c r="L48" s="137"/>
      <c r="M48" s="8"/>
      <c r="N48" s="13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137"/>
      <c r="L49" s="137"/>
      <c r="M49" s="8"/>
      <c r="N49" s="13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137"/>
      <c r="L50" s="137"/>
      <c r="M50" s="8"/>
      <c r="N50" s="13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137"/>
      <c r="L51" s="137"/>
      <c r="M51" s="8"/>
      <c r="N51" s="13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137"/>
      <c r="L52" s="137"/>
      <c r="M52" s="8"/>
      <c r="N52" s="13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137"/>
      <c r="L53" s="137"/>
      <c r="M53" s="8"/>
      <c r="N53" s="13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137"/>
      <c r="L54" s="137"/>
      <c r="M54" s="8"/>
      <c r="N54" s="13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137"/>
      <c r="L55" s="137"/>
      <c r="M55" s="8"/>
      <c r="N55" s="13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137"/>
      <c r="L56" s="137"/>
      <c r="M56" s="8"/>
      <c r="N56" s="13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137"/>
      <c r="L57" s="137"/>
      <c r="M57" s="8"/>
      <c r="N57" s="13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137"/>
      <c r="L58" s="137"/>
      <c r="M58" s="8"/>
      <c r="N58" s="13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137"/>
      <c r="L59" s="137"/>
      <c r="M59" s="8"/>
      <c r="N59" s="13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137"/>
      <c r="L60" s="137"/>
      <c r="M60" s="8"/>
      <c r="N60" s="13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137"/>
      <c r="L61" s="137"/>
      <c r="M61" s="8"/>
      <c r="N61" s="13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137"/>
      <c r="L62" s="137"/>
      <c r="M62" s="8"/>
      <c r="N62" s="13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137"/>
      <c r="L63" s="137"/>
      <c r="M63" s="8"/>
      <c r="N63" s="13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137"/>
      <c r="L64" s="137"/>
      <c r="M64" s="8"/>
      <c r="N64" s="13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137"/>
      <c r="L65" s="137"/>
      <c r="M65" s="8"/>
      <c r="N65" s="13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137"/>
      <c r="L66" s="137"/>
      <c r="M66" s="8"/>
      <c r="N66" s="13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137"/>
      <c r="L67" s="137"/>
      <c r="M67" s="8"/>
      <c r="N67" s="13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137"/>
      <c r="L68" s="137"/>
      <c r="M68" s="8"/>
      <c r="N68" s="13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137"/>
      <c r="L69" s="137"/>
      <c r="M69" s="8"/>
      <c r="N69" s="13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137"/>
      <c r="L70" s="137"/>
      <c r="M70" s="8"/>
      <c r="N70" s="13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137"/>
      <c r="L71" s="137"/>
      <c r="M71" s="8"/>
      <c r="N71" s="13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137"/>
      <c r="L72" s="137"/>
      <c r="M72" s="8"/>
      <c r="N72" s="13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137"/>
      <c r="L73" s="137"/>
      <c r="M73" s="8"/>
      <c r="N73" s="13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137"/>
      <c r="L74" s="137"/>
      <c r="M74" s="8"/>
      <c r="N74" s="13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137"/>
      <c r="L75" s="137"/>
      <c r="M75" s="8"/>
      <c r="N75" s="13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137"/>
      <c r="L76" s="137"/>
      <c r="M76" s="8"/>
      <c r="N76" s="13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137"/>
      <c r="L77" s="137"/>
      <c r="M77" s="8"/>
      <c r="N77" s="13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137"/>
      <c r="L78" s="137"/>
      <c r="M78" s="8"/>
      <c r="N78" s="13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137"/>
      <c r="L79" s="137"/>
      <c r="M79" s="8"/>
      <c r="N79" s="13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137"/>
      <c r="L80" s="137"/>
      <c r="M80" s="8"/>
      <c r="N80" s="13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137"/>
      <c r="L81" s="137"/>
      <c r="M81" s="8"/>
      <c r="N81" s="13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137"/>
      <c r="L82" s="137"/>
      <c r="M82" s="8"/>
      <c r="N82" s="13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137"/>
      <c r="L83" s="137"/>
      <c r="M83" s="8"/>
      <c r="N83" s="13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137"/>
      <c r="L84" s="137"/>
      <c r="M84" s="8"/>
      <c r="N84" s="13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137"/>
      <c r="L85" s="137"/>
      <c r="M85" s="8"/>
      <c r="N85" s="13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137"/>
      <c r="L86" s="137"/>
      <c r="M86" s="8"/>
      <c r="N86" s="13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137"/>
      <c r="L87" s="137"/>
      <c r="M87" s="8"/>
      <c r="N87" s="13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137"/>
      <c r="L88" s="137"/>
      <c r="M88" s="8"/>
      <c r="N88" s="13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137"/>
      <c r="L89" s="137"/>
      <c r="M89" s="8"/>
      <c r="N89" s="13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137"/>
      <c r="L90" s="137"/>
      <c r="M90" s="8"/>
      <c r="N90" s="13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137"/>
      <c r="L91" s="137"/>
      <c r="M91" s="8"/>
      <c r="N91" s="13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137"/>
      <c r="L92" s="137"/>
      <c r="M92" s="8"/>
      <c r="N92" s="13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137"/>
      <c r="L93" s="137"/>
      <c r="M93" s="8"/>
      <c r="N93" s="13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137"/>
      <c r="L94" s="137"/>
      <c r="M94" s="8"/>
      <c r="N94" s="13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137"/>
      <c r="L95" s="137"/>
      <c r="M95" s="8"/>
      <c r="N95" s="13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137"/>
      <c r="L96" s="137"/>
      <c r="M96" s="8"/>
      <c r="N96" s="13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137"/>
      <c r="L97" s="137"/>
      <c r="M97" s="8"/>
      <c r="N97" s="13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137"/>
      <c r="L98" s="137"/>
      <c r="M98" s="8"/>
      <c r="N98" s="13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137"/>
      <c r="L99" s="137"/>
      <c r="M99" s="8"/>
      <c r="N99" s="13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137"/>
      <c r="L100" s="137"/>
      <c r="M100" s="8"/>
      <c r="N100" s="13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137"/>
      <c r="L101" s="137"/>
      <c r="M101" s="8"/>
      <c r="N101" s="13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137"/>
      <c r="L102" s="137"/>
      <c r="M102" s="8"/>
      <c r="N102" s="13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137"/>
      <c r="L103" s="137"/>
      <c r="M103" s="8"/>
      <c r="N103" s="13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137"/>
      <c r="L104" s="137"/>
      <c r="M104" s="8"/>
      <c r="N104" s="13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137"/>
      <c r="L105" s="137"/>
      <c r="M105" s="8"/>
      <c r="N105" s="13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137"/>
      <c r="L106" s="137"/>
      <c r="M106" s="8"/>
      <c r="N106" s="13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137"/>
      <c r="L107" s="137"/>
      <c r="M107" s="8"/>
      <c r="N107" s="13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137"/>
      <c r="L108" s="137"/>
      <c r="M108" s="8"/>
      <c r="N108" s="13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137"/>
      <c r="L109" s="137"/>
      <c r="M109" s="8"/>
      <c r="N109" s="13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137"/>
      <c r="L110" s="137"/>
      <c r="M110" s="8"/>
      <c r="N110" s="13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137"/>
      <c r="L111" s="137"/>
      <c r="M111" s="8"/>
      <c r="N111" s="13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137"/>
      <c r="L112" s="137"/>
      <c r="M112" s="8"/>
      <c r="N112" s="13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137"/>
      <c r="L113" s="137"/>
      <c r="M113" s="8"/>
      <c r="N113" s="13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137"/>
      <c r="L114" s="137"/>
      <c r="M114" s="8"/>
      <c r="N114" s="13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137"/>
      <c r="L115" s="137"/>
      <c r="M115" s="8"/>
      <c r="N115" s="13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137"/>
      <c r="L116" s="137"/>
      <c r="M116" s="8"/>
      <c r="N116" s="13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137"/>
      <c r="L117" s="137"/>
      <c r="M117" s="8"/>
      <c r="N117" s="13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137"/>
      <c r="L118" s="137"/>
      <c r="M118" s="8"/>
      <c r="N118" s="13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137"/>
      <c r="L119" s="137"/>
      <c r="M119" s="8"/>
      <c r="N119" s="13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137"/>
      <c r="L120" s="137"/>
      <c r="M120" s="8"/>
      <c r="N120" s="13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137"/>
      <c r="L121" s="137"/>
      <c r="M121" s="8"/>
      <c r="N121" s="13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137"/>
      <c r="L122" s="137"/>
      <c r="M122" s="8"/>
      <c r="N122" s="13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137"/>
      <c r="L123" s="137"/>
      <c r="M123" s="8"/>
      <c r="N123" s="13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137"/>
      <c r="L124" s="137"/>
      <c r="M124" s="8"/>
      <c r="N124" s="13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137"/>
      <c r="L125" s="137"/>
      <c r="M125" s="8"/>
      <c r="N125" s="13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137"/>
      <c r="L126" s="137"/>
      <c r="M126" s="8"/>
      <c r="N126" s="13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137"/>
      <c r="L127" s="137"/>
      <c r="M127" s="8"/>
      <c r="N127" s="13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137"/>
      <c r="L128" s="137"/>
      <c r="M128" s="8"/>
      <c r="N128" s="13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137"/>
      <c r="L129" s="137"/>
      <c r="M129" s="8"/>
      <c r="N129" s="13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137"/>
      <c r="L130" s="137"/>
      <c r="M130" s="8"/>
      <c r="N130" s="13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137"/>
      <c r="L131" s="137"/>
      <c r="M131" s="8"/>
      <c r="N131" s="13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137"/>
      <c r="L132" s="137"/>
      <c r="M132" s="8"/>
      <c r="N132" s="13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137"/>
      <c r="L133" s="137"/>
      <c r="M133" s="8"/>
      <c r="N133" s="13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137"/>
      <c r="L134" s="137"/>
      <c r="M134" s="8"/>
      <c r="N134" s="13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137"/>
      <c r="L135" s="137"/>
      <c r="M135" s="8"/>
      <c r="N135" s="13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137"/>
      <c r="L136" s="137"/>
      <c r="M136" s="8"/>
      <c r="N136" s="13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137"/>
      <c r="L137" s="137"/>
      <c r="M137" s="8"/>
      <c r="N137" s="13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137"/>
      <c r="L138" s="137"/>
      <c r="M138" s="8"/>
      <c r="N138" s="13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137"/>
      <c r="L139" s="137"/>
      <c r="M139" s="8"/>
      <c r="N139" s="13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137"/>
      <c r="L140" s="137"/>
      <c r="M140" s="8"/>
      <c r="N140" s="13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137"/>
      <c r="L141" s="137"/>
      <c r="M141" s="8"/>
      <c r="N141" s="13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137"/>
      <c r="L142" s="137"/>
      <c r="M142" s="8"/>
      <c r="N142" s="13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137"/>
      <c r="L143" s="137"/>
      <c r="M143" s="8"/>
      <c r="N143" s="13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137"/>
      <c r="L144" s="137"/>
      <c r="M144" s="8"/>
      <c r="N144" s="13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137"/>
      <c r="L145" s="137"/>
      <c r="M145" s="8"/>
      <c r="N145" s="13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137"/>
      <c r="L146" s="137"/>
      <c r="M146" s="8"/>
      <c r="N146" s="13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137"/>
      <c r="L147" s="137"/>
      <c r="M147" s="8"/>
      <c r="N147" s="13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137"/>
      <c r="L148" s="137"/>
      <c r="M148" s="8"/>
      <c r="N148" s="13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137"/>
      <c r="L149" s="137"/>
      <c r="M149" s="8"/>
      <c r="N149" s="13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137"/>
      <c r="L150" s="137"/>
      <c r="M150" s="8"/>
      <c r="N150" s="13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137"/>
      <c r="L151" s="137"/>
      <c r="M151" s="8"/>
      <c r="N151" s="13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137"/>
      <c r="L152" s="137"/>
      <c r="M152" s="8"/>
      <c r="N152" s="13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137"/>
      <c r="L153" s="137"/>
      <c r="M153" s="8"/>
      <c r="N153" s="13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137"/>
      <c r="L154" s="137"/>
      <c r="M154" s="8"/>
      <c r="N154" s="13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137"/>
      <c r="L155" s="137"/>
      <c r="M155" s="8"/>
      <c r="N155" s="13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137"/>
      <c r="L156" s="137"/>
      <c r="M156" s="8"/>
      <c r="N156" s="13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137"/>
      <c r="L157" s="137"/>
      <c r="M157" s="8"/>
      <c r="N157" s="13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137"/>
      <c r="L158" s="137"/>
      <c r="M158" s="8"/>
      <c r="N158" s="13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137"/>
      <c r="L159" s="137"/>
      <c r="M159" s="8"/>
      <c r="N159" s="13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137"/>
      <c r="L160" s="137"/>
      <c r="M160" s="8"/>
      <c r="N160" s="13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137"/>
      <c r="L161" s="137"/>
      <c r="M161" s="8"/>
      <c r="N161" s="13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137"/>
      <c r="L162" s="137"/>
      <c r="M162" s="8"/>
      <c r="N162" s="13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137"/>
      <c r="L163" s="137"/>
      <c r="M163" s="8"/>
      <c r="N163" s="13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137"/>
      <c r="L164" s="137"/>
      <c r="M164" s="8"/>
      <c r="N164" s="13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137"/>
      <c r="L165" s="137"/>
      <c r="M165" s="8"/>
      <c r="N165" s="13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137"/>
      <c r="L166" s="137"/>
      <c r="M166" s="8"/>
      <c r="N166" s="13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137"/>
      <c r="L167" s="137"/>
      <c r="M167" s="8"/>
      <c r="N167" s="13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137"/>
      <c r="L168" s="137"/>
      <c r="M168" s="8"/>
      <c r="N168" s="13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137"/>
      <c r="L169" s="137"/>
      <c r="M169" s="8"/>
      <c r="N169" s="13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137"/>
      <c r="L170" s="137"/>
      <c r="M170" s="8"/>
      <c r="N170" s="13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137"/>
      <c r="L171" s="137"/>
      <c r="M171" s="8"/>
      <c r="N171" s="13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137"/>
      <c r="L172" s="137"/>
      <c r="M172" s="8"/>
      <c r="N172" s="13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137"/>
      <c r="L173" s="137"/>
      <c r="M173" s="8"/>
      <c r="N173" s="13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137"/>
      <c r="L174" s="137"/>
      <c r="M174" s="8"/>
      <c r="N174" s="13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137"/>
      <c r="L175" s="137"/>
      <c r="M175" s="8"/>
      <c r="N175" s="13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137"/>
      <c r="L176" s="137"/>
      <c r="M176" s="8"/>
      <c r="N176" s="13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137"/>
      <c r="L177" s="137"/>
      <c r="M177" s="8"/>
      <c r="N177" s="13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137"/>
      <c r="L178" s="137"/>
      <c r="M178" s="8"/>
      <c r="N178" s="13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137"/>
      <c r="L179" s="137"/>
      <c r="M179" s="8"/>
      <c r="N179" s="13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137"/>
      <c r="L180" s="137"/>
      <c r="M180" s="8"/>
      <c r="N180" s="13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137"/>
      <c r="L181" s="137"/>
      <c r="M181" s="8"/>
      <c r="N181" s="13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137"/>
      <c r="L182" s="137"/>
      <c r="M182" s="8"/>
      <c r="N182" s="13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137"/>
      <c r="L183" s="137"/>
      <c r="M183" s="8"/>
      <c r="N183" s="13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137"/>
      <c r="L184" s="137"/>
      <c r="M184" s="8"/>
      <c r="N184" s="13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137"/>
      <c r="L185" s="137"/>
      <c r="M185" s="8"/>
      <c r="N185" s="13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137"/>
      <c r="L186" s="137"/>
      <c r="M186" s="8"/>
      <c r="N186" s="13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137"/>
      <c r="L187" s="137"/>
      <c r="M187" s="8"/>
      <c r="N187" s="13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137"/>
      <c r="L188" s="137"/>
      <c r="M188" s="8"/>
      <c r="N188" s="13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137"/>
      <c r="L189" s="137"/>
      <c r="M189" s="8"/>
      <c r="N189" s="13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137"/>
      <c r="L190" s="137"/>
      <c r="M190" s="8"/>
      <c r="N190" s="13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137"/>
      <c r="L191" s="137"/>
      <c r="M191" s="8"/>
      <c r="N191" s="13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137"/>
      <c r="L192" s="137"/>
      <c r="M192" s="8"/>
      <c r="N192" s="13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137"/>
      <c r="L193" s="137"/>
      <c r="M193" s="8"/>
      <c r="N193" s="13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137"/>
      <c r="L194" s="137"/>
      <c r="M194" s="8"/>
      <c r="N194" s="13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137"/>
      <c r="L195" s="137"/>
      <c r="M195" s="8"/>
      <c r="N195" s="13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137"/>
      <c r="L196" s="137"/>
      <c r="M196" s="8"/>
      <c r="N196" s="13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137"/>
      <c r="L197" s="137"/>
      <c r="M197" s="8"/>
      <c r="N197" s="13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137"/>
      <c r="L198" s="137"/>
      <c r="M198" s="8"/>
      <c r="N198" s="13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137"/>
      <c r="L199" s="137"/>
      <c r="M199" s="8"/>
      <c r="N199" s="13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137"/>
      <c r="L200" s="137"/>
      <c r="M200" s="8"/>
      <c r="N200" s="13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137"/>
      <c r="L201" s="137"/>
      <c r="M201" s="8"/>
      <c r="N201" s="13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137"/>
      <c r="L202" s="137"/>
      <c r="M202" s="8"/>
      <c r="N202" s="13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137"/>
      <c r="L203" s="137"/>
      <c r="M203" s="8"/>
      <c r="N203" s="13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137"/>
      <c r="L204" s="137"/>
      <c r="M204" s="8"/>
      <c r="N204" s="13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137"/>
      <c r="L205" s="137"/>
      <c r="M205" s="8"/>
      <c r="N205" s="13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137"/>
      <c r="L206" s="137"/>
      <c r="M206" s="8"/>
      <c r="N206" s="13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137"/>
      <c r="L207" s="137"/>
      <c r="M207" s="8"/>
      <c r="N207" s="13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137"/>
      <c r="L208" s="137"/>
      <c r="M208" s="8"/>
      <c r="N208" s="13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137"/>
      <c r="L209" s="137"/>
      <c r="M209" s="8"/>
      <c r="N209" s="13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137"/>
      <c r="L210" s="137"/>
      <c r="M210" s="8"/>
      <c r="N210" s="13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137"/>
      <c r="L211" s="137"/>
      <c r="M211" s="8"/>
      <c r="N211" s="13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137"/>
      <c r="L212" s="137"/>
      <c r="M212" s="8"/>
      <c r="N212" s="13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137"/>
      <c r="L213" s="137"/>
      <c r="M213" s="8"/>
      <c r="N213" s="13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137"/>
      <c r="L214" s="137"/>
      <c r="M214" s="8"/>
      <c r="N214" s="13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137"/>
      <c r="L215" s="137"/>
      <c r="M215" s="8"/>
      <c r="N215" s="13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0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137"/>
      <c r="L216" s="137"/>
      <c r="M216" s="8"/>
      <c r="N216" s="13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0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137"/>
      <c r="L217" s="137"/>
      <c r="M217" s="8"/>
      <c r="N217" s="13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0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137"/>
      <c r="L218" s="137"/>
      <c r="M218" s="8"/>
      <c r="N218" s="13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0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137"/>
      <c r="L219" s="137"/>
      <c r="M219" s="8"/>
      <c r="N219" s="13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spans="1:30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137"/>
      <c r="L220" s="137"/>
      <c r="M220" s="8"/>
      <c r="N220" s="13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spans="1:30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137"/>
      <c r="L221" s="137"/>
      <c r="M221" s="8"/>
      <c r="N221" s="13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spans="1:30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137"/>
      <c r="L222" s="137"/>
      <c r="M222" s="8"/>
      <c r="N222" s="13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spans="1:30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137"/>
      <c r="L223" s="137"/>
      <c r="M223" s="8"/>
      <c r="N223" s="13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spans="1:30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137"/>
      <c r="L224" s="137"/>
      <c r="M224" s="8"/>
      <c r="N224" s="13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spans="1:30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137"/>
      <c r="L225" s="137"/>
      <c r="M225" s="8"/>
      <c r="N225" s="13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spans="1:30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137"/>
      <c r="L226" s="137"/>
      <c r="M226" s="8"/>
      <c r="N226" s="13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spans="1:30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137"/>
      <c r="L227" s="137"/>
      <c r="M227" s="8"/>
      <c r="N227" s="13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spans="1:30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137"/>
      <c r="L228" s="137"/>
      <c r="M228" s="8"/>
      <c r="N228" s="13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spans="1:30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137"/>
      <c r="L229" s="137"/>
      <c r="M229" s="8"/>
      <c r="N229" s="13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spans="1:30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137"/>
      <c r="L230" s="137"/>
      <c r="M230" s="8"/>
      <c r="N230" s="13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spans="1:30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137"/>
      <c r="L231" s="137"/>
      <c r="M231" s="8"/>
      <c r="N231" s="13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spans="1:30" ht="15.75" customHeight="1" x14ac:dyDescent="0.25">
      <c r="K232" s="146"/>
      <c r="L232" s="146"/>
    </row>
    <row r="233" spans="1:30" ht="15.75" customHeight="1" x14ac:dyDescent="0.25">
      <c r="K233" s="146"/>
      <c r="L233" s="146"/>
    </row>
    <row r="234" spans="1:30" ht="15.75" customHeight="1" x14ac:dyDescent="0.25">
      <c r="K234" s="146"/>
      <c r="L234" s="146"/>
    </row>
    <row r="235" spans="1:30" ht="15.75" customHeight="1" x14ac:dyDescent="0.25">
      <c r="K235" s="146"/>
      <c r="L235" s="146"/>
    </row>
    <row r="236" spans="1:30" ht="15.75" customHeight="1" x14ac:dyDescent="0.25">
      <c r="K236" s="146"/>
      <c r="L236" s="146"/>
    </row>
    <row r="237" spans="1:30" ht="15.75" customHeight="1" x14ac:dyDescent="0.25">
      <c r="K237" s="146"/>
      <c r="L237" s="146"/>
    </row>
    <row r="238" spans="1:30" ht="15.75" customHeight="1" x14ac:dyDescent="0.25">
      <c r="K238" s="146"/>
      <c r="L238" s="146"/>
    </row>
    <row r="239" spans="1:30" ht="15.75" customHeight="1" x14ac:dyDescent="0.25">
      <c r="K239" s="146"/>
      <c r="L239" s="146"/>
    </row>
    <row r="240" spans="1:30" ht="15.75" customHeight="1" x14ac:dyDescent="0.25">
      <c r="K240" s="146"/>
      <c r="L240" s="146"/>
    </row>
    <row r="241" spans="11:12" ht="15.75" customHeight="1" x14ac:dyDescent="0.25">
      <c r="K241" s="146"/>
      <c r="L241" s="146"/>
    </row>
    <row r="242" spans="11:12" ht="15.75" customHeight="1" x14ac:dyDescent="0.25">
      <c r="K242" s="146"/>
      <c r="L242" s="146"/>
    </row>
    <row r="243" spans="11:12" ht="15.75" customHeight="1" x14ac:dyDescent="0.25">
      <c r="K243" s="146"/>
      <c r="L243" s="146"/>
    </row>
    <row r="244" spans="11:12" ht="15.75" customHeight="1" x14ac:dyDescent="0.25">
      <c r="K244" s="146"/>
      <c r="L244" s="146"/>
    </row>
    <row r="245" spans="11:12" ht="15.75" customHeight="1" x14ac:dyDescent="0.25">
      <c r="K245" s="146"/>
      <c r="L245" s="146"/>
    </row>
    <row r="246" spans="11:12" ht="15.75" customHeight="1" x14ac:dyDescent="0.25">
      <c r="K246" s="146"/>
      <c r="L246" s="146"/>
    </row>
    <row r="247" spans="11:12" ht="15.75" customHeight="1" x14ac:dyDescent="0.25">
      <c r="K247" s="146"/>
      <c r="L247" s="146"/>
    </row>
    <row r="248" spans="11:12" ht="15.75" customHeight="1" x14ac:dyDescent="0.25">
      <c r="K248" s="146"/>
      <c r="L248" s="146"/>
    </row>
    <row r="249" spans="11:12" ht="15.75" customHeight="1" x14ac:dyDescent="0.25">
      <c r="K249" s="146"/>
      <c r="L249" s="146"/>
    </row>
    <row r="250" spans="11:12" ht="15.75" customHeight="1" x14ac:dyDescent="0.25">
      <c r="K250" s="146"/>
      <c r="L250" s="146"/>
    </row>
    <row r="251" spans="11:12" ht="15.75" customHeight="1" x14ac:dyDescent="0.25">
      <c r="K251" s="146"/>
      <c r="L251" s="146"/>
    </row>
    <row r="252" spans="11:12" ht="15.75" customHeight="1" x14ac:dyDescent="0.25">
      <c r="K252" s="146"/>
      <c r="L252" s="146"/>
    </row>
    <row r="253" spans="11:12" ht="15.75" customHeight="1" x14ac:dyDescent="0.25">
      <c r="K253" s="146"/>
      <c r="L253" s="146"/>
    </row>
    <row r="254" spans="11:12" ht="15.75" customHeight="1" x14ac:dyDescent="0.25">
      <c r="K254" s="146"/>
      <c r="L254" s="146"/>
    </row>
    <row r="255" spans="11:12" ht="15.75" customHeight="1" x14ac:dyDescent="0.25">
      <c r="K255" s="146"/>
      <c r="L255" s="146"/>
    </row>
    <row r="256" spans="11:12" ht="15.75" customHeight="1" x14ac:dyDescent="0.25">
      <c r="K256" s="146"/>
      <c r="L256" s="146"/>
    </row>
    <row r="257" spans="11:12" ht="15.75" customHeight="1" x14ac:dyDescent="0.25">
      <c r="K257" s="146"/>
      <c r="L257" s="146"/>
    </row>
    <row r="258" spans="11:12" ht="15.75" customHeight="1" x14ac:dyDescent="0.25">
      <c r="K258" s="146"/>
      <c r="L258" s="146"/>
    </row>
    <row r="259" spans="11:12" ht="15.75" customHeight="1" x14ac:dyDescent="0.25">
      <c r="K259" s="146"/>
      <c r="L259" s="146"/>
    </row>
    <row r="260" spans="11:12" ht="15.75" customHeight="1" x14ac:dyDescent="0.25">
      <c r="K260" s="146"/>
      <c r="L260" s="146"/>
    </row>
    <row r="261" spans="11:12" ht="15.75" customHeight="1" x14ac:dyDescent="0.25">
      <c r="K261" s="146"/>
      <c r="L261" s="146"/>
    </row>
    <row r="262" spans="11:12" ht="15.75" customHeight="1" x14ac:dyDescent="0.25">
      <c r="K262" s="146"/>
      <c r="L262" s="146"/>
    </row>
    <row r="263" spans="11:12" ht="15.75" customHeight="1" x14ac:dyDescent="0.25">
      <c r="K263" s="146"/>
      <c r="L263" s="146"/>
    </row>
    <row r="264" spans="11:12" ht="15.75" customHeight="1" x14ac:dyDescent="0.25">
      <c r="K264" s="146"/>
      <c r="L264" s="146"/>
    </row>
    <row r="265" spans="11:12" ht="15.75" customHeight="1" x14ac:dyDescent="0.25">
      <c r="K265" s="146"/>
      <c r="L265" s="146"/>
    </row>
    <row r="266" spans="11:12" ht="15.75" customHeight="1" x14ac:dyDescent="0.25">
      <c r="K266" s="146"/>
      <c r="L266" s="146"/>
    </row>
    <row r="267" spans="11:12" ht="15.75" customHeight="1" x14ac:dyDescent="0.25">
      <c r="K267" s="146"/>
      <c r="L267" s="146"/>
    </row>
    <row r="268" spans="11:12" ht="15.75" customHeight="1" x14ac:dyDescent="0.25">
      <c r="K268" s="146"/>
      <c r="L268" s="146"/>
    </row>
    <row r="269" spans="11:12" ht="15.75" customHeight="1" x14ac:dyDescent="0.25">
      <c r="K269" s="146"/>
      <c r="L269" s="146"/>
    </row>
    <row r="270" spans="11:12" ht="15.75" customHeight="1" x14ac:dyDescent="0.25">
      <c r="K270" s="146"/>
      <c r="L270" s="146"/>
    </row>
    <row r="271" spans="11:12" ht="15.75" customHeight="1" x14ac:dyDescent="0.25">
      <c r="K271" s="146"/>
      <c r="L271" s="146"/>
    </row>
    <row r="272" spans="11:12" ht="15.75" customHeight="1" x14ac:dyDescent="0.25">
      <c r="K272" s="146"/>
      <c r="L272" s="146"/>
    </row>
    <row r="273" spans="11:12" ht="15.75" customHeight="1" x14ac:dyDescent="0.25">
      <c r="K273" s="146"/>
      <c r="L273" s="146"/>
    </row>
    <row r="274" spans="11:12" ht="15.75" customHeight="1" x14ac:dyDescent="0.25">
      <c r="K274" s="146"/>
      <c r="L274" s="146"/>
    </row>
    <row r="275" spans="11:12" ht="15.75" customHeight="1" x14ac:dyDescent="0.25">
      <c r="K275" s="146"/>
      <c r="L275" s="146"/>
    </row>
    <row r="276" spans="11:12" ht="15.75" customHeight="1" x14ac:dyDescent="0.25">
      <c r="K276" s="146"/>
      <c r="L276" s="146"/>
    </row>
    <row r="277" spans="11:12" ht="15.75" customHeight="1" x14ac:dyDescent="0.25">
      <c r="K277" s="146"/>
      <c r="L277" s="146"/>
    </row>
    <row r="278" spans="11:12" ht="15.75" customHeight="1" x14ac:dyDescent="0.25">
      <c r="K278" s="146"/>
      <c r="L278" s="146"/>
    </row>
    <row r="279" spans="11:12" ht="15.75" customHeight="1" x14ac:dyDescent="0.25">
      <c r="K279" s="146"/>
      <c r="L279" s="146"/>
    </row>
    <row r="280" spans="11:12" ht="15.75" customHeight="1" x14ac:dyDescent="0.25">
      <c r="K280" s="146"/>
      <c r="L280" s="146"/>
    </row>
    <row r="281" spans="11:12" ht="15.75" customHeight="1" x14ac:dyDescent="0.25">
      <c r="K281" s="146"/>
      <c r="L281" s="146"/>
    </row>
    <row r="282" spans="11:12" ht="15.75" customHeight="1" x14ac:dyDescent="0.25">
      <c r="K282" s="146"/>
      <c r="L282" s="146"/>
    </row>
    <row r="283" spans="11:12" ht="15.75" customHeight="1" x14ac:dyDescent="0.25">
      <c r="K283" s="146"/>
      <c r="L283" s="146"/>
    </row>
    <row r="284" spans="11:12" ht="15.75" customHeight="1" x14ac:dyDescent="0.25">
      <c r="K284" s="146"/>
      <c r="L284" s="146"/>
    </row>
    <row r="285" spans="11:12" ht="15.75" customHeight="1" x14ac:dyDescent="0.25">
      <c r="K285" s="146"/>
      <c r="L285" s="146"/>
    </row>
    <row r="286" spans="11:12" ht="15.75" customHeight="1" x14ac:dyDescent="0.25">
      <c r="K286" s="146"/>
      <c r="L286" s="146"/>
    </row>
    <row r="287" spans="11:12" ht="15.75" customHeight="1" x14ac:dyDescent="0.25">
      <c r="K287" s="146"/>
      <c r="L287" s="146"/>
    </row>
    <row r="288" spans="11:12" ht="15.75" customHeight="1" x14ac:dyDescent="0.25">
      <c r="K288" s="146"/>
      <c r="L288" s="146"/>
    </row>
    <row r="289" spans="11:12" ht="15.75" customHeight="1" x14ac:dyDescent="0.25">
      <c r="K289" s="146"/>
      <c r="L289" s="146"/>
    </row>
    <row r="290" spans="11:12" ht="15.75" customHeight="1" x14ac:dyDescent="0.25">
      <c r="K290" s="146"/>
      <c r="L290" s="146"/>
    </row>
    <row r="291" spans="11:12" ht="15.75" customHeight="1" x14ac:dyDescent="0.25">
      <c r="K291" s="146"/>
      <c r="L291" s="146"/>
    </row>
    <row r="292" spans="11:12" ht="15.75" customHeight="1" x14ac:dyDescent="0.25">
      <c r="K292" s="146"/>
      <c r="L292" s="146"/>
    </row>
    <row r="293" spans="11:12" ht="15.75" customHeight="1" x14ac:dyDescent="0.25">
      <c r="K293" s="146"/>
      <c r="L293" s="146"/>
    </row>
    <row r="294" spans="11:12" ht="15.75" customHeight="1" x14ac:dyDescent="0.25">
      <c r="K294" s="146"/>
      <c r="L294" s="146"/>
    </row>
    <row r="295" spans="11:12" ht="15.75" customHeight="1" x14ac:dyDescent="0.25">
      <c r="K295" s="146"/>
      <c r="L295" s="146"/>
    </row>
    <row r="296" spans="11:12" ht="15.75" customHeight="1" x14ac:dyDescent="0.25">
      <c r="K296" s="146"/>
      <c r="L296" s="146"/>
    </row>
    <row r="297" spans="11:12" ht="15.75" customHeight="1" x14ac:dyDescent="0.25">
      <c r="K297" s="146"/>
      <c r="L297" s="146"/>
    </row>
    <row r="298" spans="11:12" ht="15.75" customHeight="1" x14ac:dyDescent="0.25">
      <c r="K298" s="146"/>
      <c r="L298" s="146"/>
    </row>
    <row r="299" spans="11:12" ht="15.75" customHeight="1" x14ac:dyDescent="0.25">
      <c r="K299" s="146"/>
      <c r="L299" s="146"/>
    </row>
    <row r="300" spans="11:12" ht="15.75" customHeight="1" x14ac:dyDescent="0.25">
      <c r="K300" s="146"/>
      <c r="L300" s="146"/>
    </row>
    <row r="301" spans="11:12" ht="15.75" customHeight="1" x14ac:dyDescent="0.25">
      <c r="K301" s="146"/>
      <c r="L301" s="146"/>
    </row>
    <row r="302" spans="11:12" ht="15.75" customHeight="1" x14ac:dyDescent="0.25">
      <c r="K302" s="146"/>
      <c r="L302" s="146"/>
    </row>
    <row r="303" spans="11:12" ht="15.75" customHeight="1" x14ac:dyDescent="0.25">
      <c r="K303" s="146"/>
      <c r="L303" s="146"/>
    </row>
    <row r="304" spans="11:12" ht="15.75" customHeight="1" x14ac:dyDescent="0.25">
      <c r="K304" s="146"/>
      <c r="L304" s="146"/>
    </row>
    <row r="305" spans="11:12" ht="15.75" customHeight="1" x14ac:dyDescent="0.25">
      <c r="K305" s="146"/>
      <c r="L305" s="146"/>
    </row>
    <row r="306" spans="11:12" ht="15.75" customHeight="1" x14ac:dyDescent="0.25">
      <c r="K306" s="146"/>
      <c r="L306" s="146"/>
    </row>
    <row r="307" spans="11:12" ht="15.75" customHeight="1" x14ac:dyDescent="0.25">
      <c r="K307" s="146"/>
      <c r="L307" s="146"/>
    </row>
    <row r="308" spans="11:12" ht="15.75" customHeight="1" x14ac:dyDescent="0.25">
      <c r="K308" s="146"/>
      <c r="L308" s="146"/>
    </row>
    <row r="309" spans="11:12" ht="15.75" customHeight="1" x14ac:dyDescent="0.25">
      <c r="K309" s="146"/>
      <c r="L309" s="146"/>
    </row>
    <row r="310" spans="11:12" ht="15.75" customHeight="1" x14ac:dyDescent="0.25">
      <c r="K310" s="146"/>
      <c r="L310" s="146"/>
    </row>
    <row r="311" spans="11:12" ht="15.75" customHeight="1" x14ac:dyDescent="0.25">
      <c r="K311" s="146"/>
      <c r="L311" s="146"/>
    </row>
    <row r="312" spans="11:12" ht="15.75" customHeight="1" x14ac:dyDescent="0.25">
      <c r="K312" s="146"/>
      <c r="L312" s="146"/>
    </row>
    <row r="313" spans="11:12" ht="15.75" customHeight="1" x14ac:dyDescent="0.25">
      <c r="K313" s="146"/>
      <c r="L313" s="146"/>
    </row>
    <row r="314" spans="11:12" ht="15.75" customHeight="1" x14ac:dyDescent="0.25">
      <c r="K314" s="146"/>
      <c r="L314" s="146"/>
    </row>
    <row r="315" spans="11:12" ht="15.75" customHeight="1" x14ac:dyDescent="0.25">
      <c r="K315" s="146"/>
      <c r="L315" s="146"/>
    </row>
    <row r="316" spans="11:12" ht="15.75" customHeight="1" x14ac:dyDescent="0.25">
      <c r="K316" s="146"/>
      <c r="L316" s="146"/>
    </row>
    <row r="317" spans="11:12" ht="15.75" customHeight="1" x14ac:dyDescent="0.25">
      <c r="K317" s="146"/>
      <c r="L317" s="146"/>
    </row>
    <row r="318" spans="11:12" ht="15.75" customHeight="1" x14ac:dyDescent="0.25">
      <c r="K318" s="146"/>
      <c r="L318" s="146"/>
    </row>
    <row r="319" spans="11:12" ht="15.75" customHeight="1" x14ac:dyDescent="0.25">
      <c r="K319" s="146"/>
      <c r="L319" s="146"/>
    </row>
    <row r="320" spans="11:12" ht="15.75" customHeight="1" x14ac:dyDescent="0.25">
      <c r="K320" s="146"/>
      <c r="L320" s="146"/>
    </row>
    <row r="321" spans="11:12" ht="15.75" customHeight="1" x14ac:dyDescent="0.25">
      <c r="K321" s="146"/>
      <c r="L321" s="146"/>
    </row>
    <row r="322" spans="11:12" ht="15.75" customHeight="1" x14ac:dyDescent="0.25">
      <c r="K322" s="146"/>
      <c r="L322" s="146"/>
    </row>
    <row r="323" spans="11:12" ht="15.75" customHeight="1" x14ac:dyDescent="0.25">
      <c r="K323" s="146"/>
      <c r="L323" s="146"/>
    </row>
    <row r="324" spans="11:12" ht="15.75" customHeight="1" x14ac:dyDescent="0.25">
      <c r="K324" s="146"/>
      <c r="L324" s="146"/>
    </row>
    <row r="325" spans="11:12" ht="15.75" customHeight="1" x14ac:dyDescent="0.25">
      <c r="K325" s="146"/>
      <c r="L325" s="146"/>
    </row>
    <row r="326" spans="11:12" ht="15.75" customHeight="1" x14ac:dyDescent="0.25">
      <c r="K326" s="146"/>
      <c r="L326" s="146"/>
    </row>
    <row r="327" spans="11:12" ht="15.75" customHeight="1" x14ac:dyDescent="0.25">
      <c r="K327" s="146"/>
      <c r="L327" s="146"/>
    </row>
    <row r="328" spans="11:12" ht="15.75" customHeight="1" x14ac:dyDescent="0.25">
      <c r="K328" s="146"/>
      <c r="L328" s="146"/>
    </row>
    <row r="329" spans="11:12" ht="15.75" customHeight="1" x14ac:dyDescent="0.25">
      <c r="K329" s="146"/>
      <c r="L329" s="146"/>
    </row>
    <row r="330" spans="11:12" ht="15.75" customHeight="1" x14ac:dyDescent="0.25">
      <c r="K330" s="146"/>
      <c r="L330" s="146"/>
    </row>
    <row r="331" spans="11:12" ht="15.75" customHeight="1" x14ac:dyDescent="0.25">
      <c r="K331" s="146"/>
      <c r="L331" s="146"/>
    </row>
    <row r="332" spans="11:12" ht="15.75" customHeight="1" x14ac:dyDescent="0.25">
      <c r="K332" s="146"/>
      <c r="L332" s="146"/>
    </row>
    <row r="333" spans="11:12" ht="15.75" customHeight="1" x14ac:dyDescent="0.25">
      <c r="K333" s="146"/>
      <c r="L333" s="146"/>
    </row>
    <row r="334" spans="11:12" ht="15.75" customHeight="1" x14ac:dyDescent="0.25">
      <c r="K334" s="146"/>
      <c r="L334" s="146"/>
    </row>
    <row r="335" spans="11:12" ht="15.75" customHeight="1" x14ac:dyDescent="0.25">
      <c r="K335" s="146"/>
      <c r="L335" s="146"/>
    </row>
    <row r="336" spans="11:12" ht="15.75" customHeight="1" x14ac:dyDescent="0.25">
      <c r="K336" s="146"/>
      <c r="L336" s="146"/>
    </row>
    <row r="337" spans="11:12" ht="15.75" customHeight="1" x14ac:dyDescent="0.25">
      <c r="K337" s="146"/>
      <c r="L337" s="146"/>
    </row>
    <row r="338" spans="11:12" ht="15.75" customHeight="1" x14ac:dyDescent="0.25">
      <c r="K338" s="146"/>
      <c r="L338" s="146"/>
    </row>
    <row r="339" spans="11:12" ht="15.75" customHeight="1" x14ac:dyDescent="0.25">
      <c r="K339" s="146"/>
      <c r="L339" s="146"/>
    </row>
    <row r="340" spans="11:12" ht="15.75" customHeight="1" x14ac:dyDescent="0.25">
      <c r="K340" s="146"/>
      <c r="L340" s="146"/>
    </row>
    <row r="341" spans="11:12" ht="15.75" customHeight="1" x14ac:dyDescent="0.25">
      <c r="K341" s="146"/>
      <c r="L341" s="146"/>
    </row>
    <row r="342" spans="11:12" ht="15.75" customHeight="1" x14ac:dyDescent="0.25">
      <c r="K342" s="146"/>
      <c r="L342" s="146"/>
    </row>
    <row r="343" spans="11:12" ht="15.75" customHeight="1" x14ac:dyDescent="0.25">
      <c r="K343" s="146"/>
      <c r="L343" s="146"/>
    </row>
    <row r="344" spans="11:12" ht="15.75" customHeight="1" x14ac:dyDescent="0.25">
      <c r="K344" s="146"/>
      <c r="L344" s="146"/>
    </row>
    <row r="345" spans="11:12" ht="15.75" customHeight="1" x14ac:dyDescent="0.25">
      <c r="K345" s="146"/>
      <c r="L345" s="146"/>
    </row>
    <row r="346" spans="11:12" ht="15.75" customHeight="1" x14ac:dyDescent="0.25">
      <c r="K346" s="146"/>
      <c r="L346" s="146"/>
    </row>
    <row r="347" spans="11:12" ht="15.75" customHeight="1" x14ac:dyDescent="0.25">
      <c r="K347" s="146"/>
      <c r="L347" s="146"/>
    </row>
    <row r="348" spans="11:12" ht="15.75" customHeight="1" x14ac:dyDescent="0.25">
      <c r="K348" s="146"/>
      <c r="L348" s="146"/>
    </row>
    <row r="349" spans="11:12" ht="15.75" customHeight="1" x14ac:dyDescent="0.25">
      <c r="K349" s="146"/>
      <c r="L349" s="146"/>
    </row>
    <row r="350" spans="11:12" ht="15.75" customHeight="1" x14ac:dyDescent="0.25">
      <c r="K350" s="146"/>
      <c r="L350" s="146"/>
    </row>
    <row r="351" spans="11:12" ht="15.75" customHeight="1" x14ac:dyDescent="0.25">
      <c r="K351" s="146"/>
      <c r="L351" s="146"/>
    </row>
    <row r="352" spans="11:12" ht="15.75" customHeight="1" x14ac:dyDescent="0.25">
      <c r="K352" s="146"/>
      <c r="L352" s="146"/>
    </row>
    <row r="353" spans="11:12" ht="15.75" customHeight="1" x14ac:dyDescent="0.25">
      <c r="K353" s="146"/>
      <c r="L353" s="146"/>
    </row>
    <row r="354" spans="11:12" ht="15.75" customHeight="1" x14ac:dyDescent="0.25">
      <c r="K354" s="146"/>
      <c r="L354" s="146"/>
    </row>
    <row r="355" spans="11:12" ht="15.75" customHeight="1" x14ac:dyDescent="0.25">
      <c r="K355" s="146"/>
      <c r="L355" s="146"/>
    </row>
    <row r="356" spans="11:12" ht="15.75" customHeight="1" x14ac:dyDescent="0.25">
      <c r="K356" s="146"/>
      <c r="L356" s="146"/>
    </row>
    <row r="357" spans="11:12" ht="15.75" customHeight="1" x14ac:dyDescent="0.25">
      <c r="K357" s="146"/>
      <c r="L357" s="146"/>
    </row>
    <row r="358" spans="11:12" ht="15.75" customHeight="1" x14ac:dyDescent="0.25">
      <c r="K358" s="146"/>
      <c r="L358" s="146"/>
    </row>
    <row r="359" spans="11:12" ht="15.75" customHeight="1" x14ac:dyDescent="0.25">
      <c r="K359" s="146"/>
      <c r="L359" s="146"/>
    </row>
    <row r="360" spans="11:12" ht="15.75" customHeight="1" x14ac:dyDescent="0.25">
      <c r="K360" s="146"/>
      <c r="L360" s="146"/>
    </row>
    <row r="361" spans="11:12" ht="15.75" customHeight="1" x14ac:dyDescent="0.25">
      <c r="K361" s="146"/>
      <c r="L361" s="146"/>
    </row>
    <row r="362" spans="11:12" ht="15.75" customHeight="1" x14ac:dyDescent="0.25">
      <c r="K362" s="146"/>
      <c r="L362" s="146"/>
    </row>
    <row r="363" spans="11:12" ht="15.75" customHeight="1" x14ac:dyDescent="0.25">
      <c r="K363" s="146"/>
      <c r="L363" s="146"/>
    </row>
    <row r="364" spans="11:12" ht="15.75" customHeight="1" x14ac:dyDescent="0.25">
      <c r="K364" s="146"/>
      <c r="L364" s="146"/>
    </row>
    <row r="365" spans="11:12" ht="15.75" customHeight="1" x14ac:dyDescent="0.25">
      <c r="K365" s="146"/>
      <c r="L365" s="146"/>
    </row>
    <row r="366" spans="11:12" ht="15.75" customHeight="1" x14ac:dyDescent="0.25">
      <c r="K366" s="146"/>
      <c r="L366" s="146"/>
    </row>
    <row r="367" spans="11:12" ht="15.75" customHeight="1" x14ac:dyDescent="0.25">
      <c r="K367" s="146"/>
      <c r="L367" s="146"/>
    </row>
    <row r="368" spans="11:12" ht="15.75" customHeight="1" x14ac:dyDescent="0.25">
      <c r="K368" s="146"/>
      <c r="L368" s="146"/>
    </row>
    <row r="369" spans="11:12" ht="15.75" customHeight="1" x14ac:dyDescent="0.25">
      <c r="K369" s="146"/>
      <c r="L369" s="146"/>
    </row>
    <row r="370" spans="11:12" ht="15.75" customHeight="1" x14ac:dyDescent="0.25">
      <c r="K370" s="146"/>
      <c r="L370" s="146"/>
    </row>
    <row r="371" spans="11:12" ht="15.75" customHeight="1" x14ac:dyDescent="0.25">
      <c r="K371" s="146"/>
      <c r="L371" s="146"/>
    </row>
    <row r="372" spans="11:12" ht="15.75" customHeight="1" x14ac:dyDescent="0.25">
      <c r="K372" s="146"/>
      <c r="L372" s="146"/>
    </row>
    <row r="373" spans="11:12" ht="15.75" customHeight="1" x14ac:dyDescent="0.25">
      <c r="K373" s="146"/>
      <c r="L373" s="146"/>
    </row>
    <row r="374" spans="11:12" ht="15.75" customHeight="1" x14ac:dyDescent="0.25">
      <c r="K374" s="146"/>
      <c r="L374" s="146"/>
    </row>
    <row r="375" spans="11:12" ht="15.75" customHeight="1" x14ac:dyDescent="0.25">
      <c r="K375" s="146"/>
      <c r="L375" s="146"/>
    </row>
    <row r="376" spans="11:12" ht="15.75" customHeight="1" x14ac:dyDescent="0.25">
      <c r="K376" s="146"/>
      <c r="L376" s="146"/>
    </row>
    <row r="377" spans="11:12" ht="15.75" customHeight="1" x14ac:dyDescent="0.25">
      <c r="K377" s="146"/>
      <c r="L377" s="146"/>
    </row>
    <row r="378" spans="11:12" ht="15.75" customHeight="1" x14ac:dyDescent="0.25">
      <c r="K378" s="146"/>
      <c r="L378" s="146"/>
    </row>
    <row r="379" spans="11:12" ht="15.75" customHeight="1" x14ac:dyDescent="0.25">
      <c r="K379" s="146"/>
      <c r="L379" s="146"/>
    </row>
    <row r="380" spans="11:12" ht="15.75" customHeight="1" x14ac:dyDescent="0.25">
      <c r="K380" s="146"/>
      <c r="L380" s="146"/>
    </row>
    <row r="381" spans="11:12" ht="15.75" customHeight="1" x14ac:dyDescent="0.25">
      <c r="K381" s="146"/>
      <c r="L381" s="146"/>
    </row>
    <row r="382" spans="11:12" ht="15.75" customHeight="1" x14ac:dyDescent="0.25">
      <c r="K382" s="146"/>
      <c r="L382" s="146"/>
    </row>
    <row r="383" spans="11:12" ht="15.75" customHeight="1" x14ac:dyDescent="0.25">
      <c r="K383" s="146"/>
      <c r="L383" s="146"/>
    </row>
    <row r="384" spans="11:12" ht="15.75" customHeight="1" x14ac:dyDescent="0.25">
      <c r="K384" s="146"/>
      <c r="L384" s="146"/>
    </row>
    <row r="385" spans="11:12" ht="15.75" customHeight="1" x14ac:dyDescent="0.25">
      <c r="K385" s="146"/>
      <c r="L385" s="146"/>
    </row>
    <row r="386" spans="11:12" ht="15.75" customHeight="1" x14ac:dyDescent="0.25">
      <c r="K386" s="146"/>
      <c r="L386" s="146"/>
    </row>
    <row r="387" spans="11:12" ht="15.75" customHeight="1" x14ac:dyDescent="0.25">
      <c r="K387" s="146"/>
      <c r="L387" s="146"/>
    </row>
    <row r="388" spans="11:12" ht="15.75" customHeight="1" x14ac:dyDescent="0.25">
      <c r="K388" s="146"/>
      <c r="L388" s="146"/>
    </row>
    <row r="389" spans="11:12" ht="15.75" customHeight="1" x14ac:dyDescent="0.25">
      <c r="K389" s="146"/>
      <c r="L389" s="146"/>
    </row>
    <row r="390" spans="11:12" ht="15.75" customHeight="1" x14ac:dyDescent="0.25">
      <c r="K390" s="146"/>
      <c r="L390" s="146"/>
    </row>
    <row r="391" spans="11:12" ht="15.75" customHeight="1" x14ac:dyDescent="0.25">
      <c r="K391" s="146"/>
      <c r="L391" s="146"/>
    </row>
    <row r="392" spans="11:12" ht="15.75" customHeight="1" x14ac:dyDescent="0.25">
      <c r="K392" s="146"/>
      <c r="L392" s="146"/>
    </row>
    <row r="393" spans="11:12" ht="15.75" customHeight="1" x14ac:dyDescent="0.25">
      <c r="K393" s="146"/>
      <c r="L393" s="146"/>
    </row>
    <row r="394" spans="11:12" ht="15.75" customHeight="1" x14ac:dyDescent="0.25">
      <c r="K394" s="146"/>
      <c r="L394" s="146"/>
    </row>
    <row r="395" spans="11:12" ht="15.75" customHeight="1" x14ac:dyDescent="0.25">
      <c r="K395" s="146"/>
      <c r="L395" s="146"/>
    </row>
    <row r="396" spans="11:12" ht="15.75" customHeight="1" x14ac:dyDescent="0.25">
      <c r="K396" s="146"/>
      <c r="L396" s="146"/>
    </row>
    <row r="397" spans="11:12" ht="15.75" customHeight="1" x14ac:dyDescent="0.25">
      <c r="K397" s="146"/>
      <c r="L397" s="146"/>
    </row>
    <row r="398" spans="11:12" ht="15.75" customHeight="1" x14ac:dyDescent="0.25">
      <c r="K398" s="146"/>
      <c r="L398" s="146"/>
    </row>
    <row r="399" spans="11:12" ht="15.75" customHeight="1" x14ac:dyDescent="0.25">
      <c r="K399" s="146"/>
      <c r="L399" s="146"/>
    </row>
    <row r="400" spans="11:12" ht="15.75" customHeight="1" x14ac:dyDescent="0.25">
      <c r="K400" s="146"/>
      <c r="L400" s="146"/>
    </row>
    <row r="401" spans="11:12" ht="15.75" customHeight="1" x14ac:dyDescent="0.25">
      <c r="K401" s="146"/>
      <c r="L401" s="146"/>
    </row>
    <row r="402" spans="11:12" ht="15.75" customHeight="1" x14ac:dyDescent="0.25">
      <c r="K402" s="146"/>
      <c r="L402" s="146"/>
    </row>
    <row r="403" spans="11:12" ht="15.75" customHeight="1" x14ac:dyDescent="0.25">
      <c r="K403" s="146"/>
      <c r="L403" s="146"/>
    </row>
    <row r="404" spans="11:12" ht="15.75" customHeight="1" x14ac:dyDescent="0.25">
      <c r="K404" s="146"/>
      <c r="L404" s="146"/>
    </row>
    <row r="405" spans="11:12" ht="15.75" customHeight="1" x14ac:dyDescent="0.25">
      <c r="K405" s="146"/>
      <c r="L405" s="146"/>
    </row>
    <row r="406" spans="11:12" ht="15.75" customHeight="1" x14ac:dyDescent="0.25">
      <c r="K406" s="146"/>
      <c r="L406" s="146"/>
    </row>
    <row r="407" spans="11:12" ht="15.75" customHeight="1" x14ac:dyDescent="0.25">
      <c r="K407" s="146"/>
      <c r="L407" s="146"/>
    </row>
    <row r="408" spans="11:12" ht="15.75" customHeight="1" x14ac:dyDescent="0.25">
      <c r="K408" s="146"/>
      <c r="L408" s="146"/>
    </row>
    <row r="409" spans="11:12" ht="15.75" customHeight="1" x14ac:dyDescent="0.25">
      <c r="K409" s="146"/>
      <c r="L409" s="146"/>
    </row>
    <row r="410" spans="11:12" ht="15.75" customHeight="1" x14ac:dyDescent="0.25">
      <c r="K410" s="146"/>
      <c r="L410" s="146"/>
    </row>
    <row r="411" spans="11:12" ht="15.75" customHeight="1" x14ac:dyDescent="0.25">
      <c r="K411" s="146"/>
      <c r="L411" s="146"/>
    </row>
    <row r="412" spans="11:12" ht="15.75" customHeight="1" x14ac:dyDescent="0.25">
      <c r="K412" s="146"/>
      <c r="L412" s="146"/>
    </row>
    <row r="413" spans="11:12" ht="15.75" customHeight="1" x14ac:dyDescent="0.25">
      <c r="K413" s="146"/>
      <c r="L413" s="146"/>
    </row>
    <row r="414" spans="11:12" ht="15.75" customHeight="1" x14ac:dyDescent="0.25">
      <c r="K414" s="146"/>
      <c r="L414" s="146"/>
    </row>
    <row r="415" spans="11:12" ht="15.75" customHeight="1" x14ac:dyDescent="0.25">
      <c r="K415" s="146"/>
      <c r="L415" s="146"/>
    </row>
    <row r="416" spans="11:12" ht="15.75" customHeight="1" x14ac:dyDescent="0.25">
      <c r="K416" s="146"/>
      <c r="L416" s="146"/>
    </row>
    <row r="417" spans="11:12" ht="15.75" customHeight="1" x14ac:dyDescent="0.25">
      <c r="K417" s="146"/>
      <c r="L417" s="146"/>
    </row>
    <row r="418" spans="11:12" ht="15.75" customHeight="1" x14ac:dyDescent="0.25">
      <c r="K418" s="146"/>
      <c r="L418" s="146"/>
    </row>
    <row r="419" spans="11:12" ht="15.75" customHeight="1" x14ac:dyDescent="0.25">
      <c r="K419" s="146"/>
      <c r="L419" s="146"/>
    </row>
    <row r="420" spans="11:12" ht="15.75" customHeight="1" x14ac:dyDescent="0.25">
      <c r="K420" s="146"/>
      <c r="L420" s="146"/>
    </row>
    <row r="421" spans="11:12" ht="15.75" customHeight="1" x14ac:dyDescent="0.25">
      <c r="K421" s="146"/>
      <c r="L421" s="146"/>
    </row>
    <row r="422" spans="11:12" ht="15.75" customHeight="1" x14ac:dyDescent="0.25">
      <c r="K422" s="146"/>
      <c r="L422" s="146"/>
    </row>
    <row r="423" spans="11:12" ht="15.75" customHeight="1" x14ac:dyDescent="0.25">
      <c r="K423" s="146"/>
      <c r="L423" s="146"/>
    </row>
    <row r="424" spans="11:12" ht="15.75" customHeight="1" x14ac:dyDescent="0.25">
      <c r="K424" s="146"/>
      <c r="L424" s="146"/>
    </row>
    <row r="425" spans="11:12" ht="15.75" customHeight="1" x14ac:dyDescent="0.25">
      <c r="K425" s="146"/>
      <c r="L425" s="146"/>
    </row>
    <row r="426" spans="11:12" ht="15.75" customHeight="1" x14ac:dyDescent="0.25">
      <c r="K426" s="146"/>
      <c r="L426" s="146"/>
    </row>
    <row r="427" spans="11:12" ht="15.75" customHeight="1" x14ac:dyDescent="0.25">
      <c r="K427" s="146"/>
      <c r="L427" s="146"/>
    </row>
    <row r="428" spans="11:12" ht="15.75" customHeight="1" x14ac:dyDescent="0.25">
      <c r="K428" s="146"/>
      <c r="L428" s="146"/>
    </row>
    <row r="429" spans="11:12" ht="15.75" customHeight="1" x14ac:dyDescent="0.25">
      <c r="K429" s="146"/>
      <c r="L429" s="146"/>
    </row>
    <row r="430" spans="11:12" ht="15.75" customHeight="1" x14ac:dyDescent="0.25">
      <c r="K430" s="146"/>
      <c r="L430" s="146"/>
    </row>
    <row r="431" spans="11:12" ht="15.75" customHeight="1" x14ac:dyDescent="0.25">
      <c r="K431" s="146"/>
      <c r="L431" s="146"/>
    </row>
    <row r="432" spans="11:12" ht="15.75" customHeight="1" x14ac:dyDescent="0.25">
      <c r="K432" s="146"/>
      <c r="L432" s="146"/>
    </row>
    <row r="433" spans="11:12" ht="15.75" customHeight="1" x14ac:dyDescent="0.25">
      <c r="K433" s="146"/>
      <c r="L433" s="146"/>
    </row>
    <row r="434" spans="11:12" ht="15.75" customHeight="1" x14ac:dyDescent="0.25">
      <c r="K434" s="146"/>
      <c r="L434" s="146"/>
    </row>
    <row r="435" spans="11:12" ht="15.75" customHeight="1" x14ac:dyDescent="0.25">
      <c r="K435" s="146"/>
      <c r="L435" s="146"/>
    </row>
    <row r="436" spans="11:12" ht="15.75" customHeight="1" x14ac:dyDescent="0.25">
      <c r="K436" s="146"/>
      <c r="L436" s="146"/>
    </row>
    <row r="437" spans="11:12" ht="15.75" customHeight="1" x14ac:dyDescent="0.25">
      <c r="K437" s="146"/>
      <c r="L437" s="146"/>
    </row>
    <row r="438" spans="11:12" ht="15.75" customHeight="1" x14ac:dyDescent="0.25">
      <c r="K438" s="146"/>
      <c r="L438" s="146"/>
    </row>
    <row r="439" spans="11:12" ht="15.75" customHeight="1" x14ac:dyDescent="0.25">
      <c r="K439" s="146"/>
      <c r="L439" s="146"/>
    </row>
    <row r="440" spans="11:12" ht="15.75" customHeight="1" x14ac:dyDescent="0.25">
      <c r="K440" s="146"/>
      <c r="L440" s="146"/>
    </row>
    <row r="441" spans="11:12" ht="15.75" customHeight="1" x14ac:dyDescent="0.25">
      <c r="K441" s="146"/>
      <c r="L441" s="146"/>
    </row>
    <row r="442" spans="11:12" ht="15.75" customHeight="1" x14ac:dyDescent="0.25">
      <c r="K442" s="146"/>
      <c r="L442" s="146"/>
    </row>
    <row r="443" spans="11:12" ht="15.75" customHeight="1" x14ac:dyDescent="0.25">
      <c r="K443" s="146"/>
      <c r="L443" s="146"/>
    </row>
    <row r="444" spans="11:12" ht="15.75" customHeight="1" x14ac:dyDescent="0.25">
      <c r="K444" s="146"/>
      <c r="L444" s="146"/>
    </row>
    <row r="445" spans="11:12" ht="15.75" customHeight="1" x14ac:dyDescent="0.25">
      <c r="K445" s="146"/>
      <c r="L445" s="146"/>
    </row>
    <row r="446" spans="11:12" ht="15.75" customHeight="1" x14ac:dyDescent="0.25">
      <c r="K446" s="146"/>
      <c r="L446" s="146"/>
    </row>
    <row r="447" spans="11:12" ht="15.75" customHeight="1" x14ac:dyDescent="0.25">
      <c r="K447" s="146"/>
      <c r="L447" s="146"/>
    </row>
    <row r="448" spans="11:12" ht="15.75" customHeight="1" x14ac:dyDescent="0.25">
      <c r="K448" s="146"/>
      <c r="L448" s="146"/>
    </row>
    <row r="449" spans="11:12" ht="15.75" customHeight="1" x14ac:dyDescent="0.25">
      <c r="K449" s="146"/>
      <c r="L449" s="146"/>
    </row>
    <row r="450" spans="11:12" ht="15.75" customHeight="1" x14ac:dyDescent="0.25">
      <c r="K450" s="146"/>
      <c r="L450" s="146"/>
    </row>
    <row r="451" spans="11:12" ht="15.75" customHeight="1" x14ac:dyDescent="0.25">
      <c r="K451" s="146"/>
      <c r="L451" s="146"/>
    </row>
    <row r="452" spans="11:12" ht="15.75" customHeight="1" x14ac:dyDescent="0.25">
      <c r="K452" s="146"/>
      <c r="L452" s="146"/>
    </row>
    <row r="453" spans="11:12" ht="15.75" customHeight="1" x14ac:dyDescent="0.25">
      <c r="K453" s="146"/>
      <c r="L453" s="146"/>
    </row>
    <row r="454" spans="11:12" ht="15.75" customHeight="1" x14ac:dyDescent="0.25">
      <c r="K454" s="146"/>
      <c r="L454" s="146"/>
    </row>
    <row r="455" spans="11:12" ht="15.75" customHeight="1" x14ac:dyDescent="0.25">
      <c r="K455" s="146"/>
      <c r="L455" s="146"/>
    </row>
    <row r="456" spans="11:12" ht="15.75" customHeight="1" x14ac:dyDescent="0.25">
      <c r="K456" s="146"/>
      <c r="L456" s="146"/>
    </row>
    <row r="457" spans="11:12" ht="15.75" customHeight="1" x14ac:dyDescent="0.25">
      <c r="K457" s="146"/>
      <c r="L457" s="146"/>
    </row>
    <row r="458" spans="11:12" ht="15.75" customHeight="1" x14ac:dyDescent="0.25">
      <c r="K458" s="146"/>
      <c r="L458" s="146"/>
    </row>
    <row r="459" spans="11:12" ht="15.75" customHeight="1" x14ac:dyDescent="0.25">
      <c r="K459" s="146"/>
      <c r="L459" s="146"/>
    </row>
    <row r="460" spans="11:12" ht="15.75" customHeight="1" x14ac:dyDescent="0.25">
      <c r="K460" s="146"/>
      <c r="L460" s="146"/>
    </row>
    <row r="461" spans="11:12" ht="15.75" customHeight="1" x14ac:dyDescent="0.25">
      <c r="K461" s="146"/>
      <c r="L461" s="146"/>
    </row>
    <row r="462" spans="11:12" ht="15.75" customHeight="1" x14ac:dyDescent="0.25">
      <c r="K462" s="146"/>
      <c r="L462" s="146"/>
    </row>
    <row r="463" spans="11:12" ht="15.75" customHeight="1" x14ac:dyDescent="0.25">
      <c r="K463" s="146"/>
      <c r="L463" s="146"/>
    </row>
    <row r="464" spans="11:12" ht="15.75" customHeight="1" x14ac:dyDescent="0.25">
      <c r="K464" s="146"/>
      <c r="L464" s="146"/>
    </row>
    <row r="465" spans="11:12" ht="15.75" customHeight="1" x14ac:dyDescent="0.25">
      <c r="K465" s="146"/>
      <c r="L465" s="146"/>
    </row>
    <row r="466" spans="11:12" ht="15.75" customHeight="1" x14ac:dyDescent="0.25">
      <c r="K466" s="146"/>
      <c r="L466" s="146"/>
    </row>
    <row r="467" spans="11:12" ht="15.75" customHeight="1" x14ac:dyDescent="0.25">
      <c r="K467" s="146"/>
      <c r="L467" s="146"/>
    </row>
    <row r="468" spans="11:12" ht="15.75" customHeight="1" x14ac:dyDescent="0.25">
      <c r="K468" s="146"/>
      <c r="L468" s="146"/>
    </row>
    <row r="469" spans="11:12" ht="15.75" customHeight="1" x14ac:dyDescent="0.25">
      <c r="K469" s="146"/>
      <c r="L469" s="146"/>
    </row>
    <row r="470" spans="11:12" ht="15.75" customHeight="1" x14ac:dyDescent="0.25">
      <c r="K470" s="146"/>
      <c r="L470" s="146"/>
    </row>
    <row r="471" spans="11:12" ht="15.75" customHeight="1" x14ac:dyDescent="0.25">
      <c r="K471" s="146"/>
      <c r="L471" s="146"/>
    </row>
    <row r="472" spans="11:12" ht="15.75" customHeight="1" x14ac:dyDescent="0.25">
      <c r="K472" s="146"/>
      <c r="L472" s="146"/>
    </row>
    <row r="473" spans="11:12" ht="15.75" customHeight="1" x14ac:dyDescent="0.25">
      <c r="K473" s="146"/>
      <c r="L473" s="146"/>
    </row>
    <row r="474" spans="11:12" ht="15.75" customHeight="1" x14ac:dyDescent="0.25">
      <c r="K474" s="146"/>
      <c r="L474" s="146"/>
    </row>
    <row r="475" spans="11:12" ht="15.75" customHeight="1" x14ac:dyDescent="0.25">
      <c r="K475" s="146"/>
      <c r="L475" s="146"/>
    </row>
    <row r="476" spans="11:12" ht="15.75" customHeight="1" x14ac:dyDescent="0.25">
      <c r="K476" s="146"/>
      <c r="L476" s="146"/>
    </row>
    <row r="477" spans="11:12" ht="15.75" customHeight="1" x14ac:dyDescent="0.25">
      <c r="K477" s="146"/>
      <c r="L477" s="146"/>
    </row>
    <row r="478" spans="11:12" ht="15.75" customHeight="1" x14ac:dyDescent="0.25">
      <c r="K478" s="146"/>
      <c r="L478" s="146"/>
    </row>
    <row r="479" spans="11:12" ht="15.75" customHeight="1" x14ac:dyDescent="0.25">
      <c r="K479" s="146"/>
      <c r="L479" s="146"/>
    </row>
    <row r="480" spans="11:12" ht="15.75" customHeight="1" x14ac:dyDescent="0.25">
      <c r="K480" s="146"/>
      <c r="L480" s="146"/>
    </row>
    <row r="481" spans="11:12" ht="15.75" customHeight="1" x14ac:dyDescent="0.25">
      <c r="K481" s="146"/>
      <c r="L481" s="146"/>
    </row>
    <row r="482" spans="11:12" ht="15.75" customHeight="1" x14ac:dyDescent="0.25">
      <c r="K482" s="146"/>
      <c r="L482" s="146"/>
    </row>
    <row r="483" spans="11:12" ht="15.75" customHeight="1" x14ac:dyDescent="0.25">
      <c r="K483" s="146"/>
      <c r="L483" s="146"/>
    </row>
    <row r="484" spans="11:12" ht="15.75" customHeight="1" x14ac:dyDescent="0.25">
      <c r="K484" s="146"/>
      <c r="L484" s="146"/>
    </row>
    <row r="485" spans="11:12" ht="15.75" customHeight="1" x14ac:dyDescent="0.25">
      <c r="K485" s="146"/>
      <c r="L485" s="146"/>
    </row>
    <row r="486" spans="11:12" ht="15.75" customHeight="1" x14ac:dyDescent="0.25">
      <c r="K486" s="146"/>
      <c r="L486" s="146"/>
    </row>
    <row r="487" spans="11:12" ht="15.75" customHeight="1" x14ac:dyDescent="0.25">
      <c r="K487" s="146"/>
      <c r="L487" s="146"/>
    </row>
    <row r="488" spans="11:12" ht="15.75" customHeight="1" x14ac:dyDescent="0.25">
      <c r="K488" s="146"/>
      <c r="L488" s="146"/>
    </row>
    <row r="489" spans="11:12" ht="15.75" customHeight="1" x14ac:dyDescent="0.25">
      <c r="K489" s="146"/>
      <c r="L489" s="146"/>
    </row>
    <row r="490" spans="11:12" ht="15.75" customHeight="1" x14ac:dyDescent="0.25">
      <c r="K490" s="146"/>
      <c r="L490" s="146"/>
    </row>
    <row r="491" spans="11:12" ht="15.75" customHeight="1" x14ac:dyDescent="0.25">
      <c r="K491" s="146"/>
      <c r="L491" s="146"/>
    </row>
    <row r="492" spans="11:12" ht="15.75" customHeight="1" x14ac:dyDescent="0.25">
      <c r="K492" s="146"/>
      <c r="L492" s="146"/>
    </row>
    <row r="493" spans="11:12" ht="15.75" customHeight="1" x14ac:dyDescent="0.25">
      <c r="K493" s="146"/>
      <c r="L493" s="146"/>
    </row>
    <row r="494" spans="11:12" ht="15.75" customHeight="1" x14ac:dyDescent="0.25">
      <c r="K494" s="146"/>
      <c r="L494" s="146"/>
    </row>
    <row r="495" spans="11:12" ht="15.75" customHeight="1" x14ac:dyDescent="0.25">
      <c r="K495" s="146"/>
      <c r="L495" s="146"/>
    </row>
    <row r="496" spans="11:12" ht="15.75" customHeight="1" x14ac:dyDescent="0.25">
      <c r="K496" s="146"/>
      <c r="L496" s="146"/>
    </row>
    <row r="497" spans="11:12" ht="15.75" customHeight="1" x14ac:dyDescent="0.25">
      <c r="K497" s="146"/>
      <c r="L497" s="146"/>
    </row>
    <row r="498" spans="11:12" ht="15.75" customHeight="1" x14ac:dyDescent="0.25">
      <c r="K498" s="146"/>
      <c r="L498" s="146"/>
    </row>
    <row r="499" spans="11:12" ht="15.75" customHeight="1" x14ac:dyDescent="0.25">
      <c r="K499" s="146"/>
      <c r="L499" s="146"/>
    </row>
    <row r="500" spans="11:12" ht="15.75" customHeight="1" x14ac:dyDescent="0.25">
      <c r="K500" s="146"/>
      <c r="L500" s="146"/>
    </row>
    <row r="501" spans="11:12" ht="15.75" customHeight="1" x14ac:dyDescent="0.25">
      <c r="K501" s="146"/>
      <c r="L501" s="146"/>
    </row>
    <row r="502" spans="11:12" ht="15.75" customHeight="1" x14ac:dyDescent="0.25">
      <c r="K502" s="146"/>
      <c r="L502" s="146"/>
    </row>
    <row r="503" spans="11:12" ht="15.75" customHeight="1" x14ac:dyDescent="0.25">
      <c r="K503" s="146"/>
      <c r="L503" s="146"/>
    </row>
    <row r="504" spans="11:12" ht="15.75" customHeight="1" x14ac:dyDescent="0.25">
      <c r="K504" s="146"/>
      <c r="L504" s="146"/>
    </row>
    <row r="505" spans="11:12" ht="15.75" customHeight="1" x14ac:dyDescent="0.25">
      <c r="K505" s="146"/>
      <c r="L505" s="146"/>
    </row>
    <row r="506" spans="11:12" ht="15.75" customHeight="1" x14ac:dyDescent="0.25">
      <c r="K506" s="146"/>
      <c r="L506" s="146"/>
    </row>
    <row r="507" spans="11:12" ht="15.75" customHeight="1" x14ac:dyDescent="0.25">
      <c r="K507" s="146"/>
      <c r="L507" s="146"/>
    </row>
    <row r="508" spans="11:12" ht="15.75" customHeight="1" x14ac:dyDescent="0.25">
      <c r="K508" s="146"/>
      <c r="L508" s="146"/>
    </row>
    <row r="509" spans="11:12" ht="15.75" customHeight="1" x14ac:dyDescent="0.25">
      <c r="K509" s="146"/>
      <c r="L509" s="146"/>
    </row>
    <row r="510" spans="11:12" ht="15.75" customHeight="1" x14ac:dyDescent="0.25">
      <c r="K510" s="146"/>
      <c r="L510" s="146"/>
    </row>
    <row r="511" spans="11:12" ht="15.75" customHeight="1" x14ac:dyDescent="0.25">
      <c r="K511" s="146"/>
      <c r="L511" s="146"/>
    </row>
    <row r="512" spans="11:12" ht="15.75" customHeight="1" x14ac:dyDescent="0.25">
      <c r="K512" s="146"/>
      <c r="L512" s="146"/>
    </row>
    <row r="513" spans="11:12" ht="15.75" customHeight="1" x14ac:dyDescent="0.25">
      <c r="K513" s="146"/>
      <c r="L513" s="146"/>
    </row>
    <row r="514" spans="11:12" ht="15.75" customHeight="1" x14ac:dyDescent="0.25">
      <c r="K514" s="146"/>
      <c r="L514" s="146"/>
    </row>
    <row r="515" spans="11:12" ht="15.75" customHeight="1" x14ac:dyDescent="0.25">
      <c r="K515" s="146"/>
      <c r="L515" s="146"/>
    </row>
    <row r="516" spans="11:12" ht="15.75" customHeight="1" x14ac:dyDescent="0.25">
      <c r="K516" s="146"/>
      <c r="L516" s="146"/>
    </row>
    <row r="517" spans="11:12" ht="15.75" customHeight="1" x14ac:dyDescent="0.25">
      <c r="K517" s="146"/>
      <c r="L517" s="146"/>
    </row>
    <row r="518" spans="11:12" ht="15.75" customHeight="1" x14ac:dyDescent="0.25">
      <c r="K518" s="146"/>
      <c r="L518" s="146"/>
    </row>
    <row r="519" spans="11:12" ht="15.75" customHeight="1" x14ac:dyDescent="0.25">
      <c r="K519" s="146"/>
      <c r="L519" s="146"/>
    </row>
    <row r="520" spans="11:12" ht="15.75" customHeight="1" x14ac:dyDescent="0.25">
      <c r="K520" s="146"/>
      <c r="L520" s="146"/>
    </row>
    <row r="521" spans="11:12" ht="15.75" customHeight="1" x14ac:dyDescent="0.25">
      <c r="K521" s="146"/>
      <c r="L521" s="146"/>
    </row>
    <row r="522" spans="11:12" ht="15.75" customHeight="1" x14ac:dyDescent="0.25">
      <c r="K522" s="146"/>
      <c r="L522" s="146"/>
    </row>
    <row r="523" spans="11:12" ht="15.75" customHeight="1" x14ac:dyDescent="0.25">
      <c r="K523" s="146"/>
      <c r="L523" s="146"/>
    </row>
    <row r="524" spans="11:12" ht="15.75" customHeight="1" x14ac:dyDescent="0.25">
      <c r="K524" s="146"/>
      <c r="L524" s="146"/>
    </row>
    <row r="525" spans="11:12" ht="15.75" customHeight="1" x14ac:dyDescent="0.25">
      <c r="K525" s="146"/>
      <c r="L525" s="146"/>
    </row>
    <row r="526" spans="11:12" ht="15.75" customHeight="1" x14ac:dyDescent="0.25">
      <c r="K526" s="146"/>
      <c r="L526" s="146"/>
    </row>
    <row r="527" spans="11:12" ht="15.75" customHeight="1" x14ac:dyDescent="0.25">
      <c r="K527" s="146"/>
      <c r="L527" s="146"/>
    </row>
    <row r="528" spans="11:12" ht="15.75" customHeight="1" x14ac:dyDescent="0.25">
      <c r="K528" s="146"/>
      <c r="L528" s="146"/>
    </row>
    <row r="529" spans="11:12" ht="15.75" customHeight="1" x14ac:dyDescent="0.25">
      <c r="K529" s="146"/>
      <c r="L529" s="146"/>
    </row>
    <row r="530" spans="11:12" ht="15.75" customHeight="1" x14ac:dyDescent="0.25">
      <c r="K530" s="146"/>
      <c r="L530" s="146"/>
    </row>
    <row r="531" spans="11:12" ht="15.75" customHeight="1" x14ac:dyDescent="0.25">
      <c r="K531" s="146"/>
      <c r="L531" s="146"/>
    </row>
    <row r="532" spans="11:12" ht="15.75" customHeight="1" x14ac:dyDescent="0.25">
      <c r="K532" s="146"/>
      <c r="L532" s="146"/>
    </row>
    <row r="533" spans="11:12" ht="15.75" customHeight="1" x14ac:dyDescent="0.25">
      <c r="K533" s="146"/>
      <c r="L533" s="146"/>
    </row>
    <row r="534" spans="11:12" ht="15.75" customHeight="1" x14ac:dyDescent="0.25">
      <c r="K534" s="146"/>
      <c r="L534" s="146"/>
    </row>
    <row r="535" spans="11:12" ht="15.75" customHeight="1" x14ac:dyDescent="0.25">
      <c r="K535" s="146"/>
      <c r="L535" s="146"/>
    </row>
    <row r="536" spans="11:12" ht="15.75" customHeight="1" x14ac:dyDescent="0.25">
      <c r="K536" s="146"/>
      <c r="L536" s="146"/>
    </row>
    <row r="537" spans="11:12" ht="15.75" customHeight="1" x14ac:dyDescent="0.25">
      <c r="K537" s="146"/>
      <c r="L537" s="146"/>
    </row>
    <row r="538" spans="11:12" ht="15.75" customHeight="1" x14ac:dyDescent="0.25">
      <c r="K538" s="146"/>
      <c r="L538" s="146"/>
    </row>
    <row r="539" spans="11:12" ht="15.75" customHeight="1" x14ac:dyDescent="0.25">
      <c r="K539" s="146"/>
      <c r="L539" s="146"/>
    </row>
    <row r="540" spans="11:12" ht="15.75" customHeight="1" x14ac:dyDescent="0.25">
      <c r="K540" s="146"/>
      <c r="L540" s="146"/>
    </row>
    <row r="541" spans="11:12" ht="15.75" customHeight="1" x14ac:dyDescent="0.25">
      <c r="K541" s="146"/>
      <c r="L541" s="146"/>
    </row>
    <row r="542" spans="11:12" ht="15.75" customHeight="1" x14ac:dyDescent="0.25">
      <c r="K542" s="146"/>
      <c r="L542" s="146"/>
    </row>
    <row r="543" spans="11:12" ht="15.75" customHeight="1" x14ac:dyDescent="0.25">
      <c r="K543" s="146"/>
      <c r="L543" s="146"/>
    </row>
    <row r="544" spans="11:12" ht="15.75" customHeight="1" x14ac:dyDescent="0.25">
      <c r="K544" s="146"/>
      <c r="L544" s="146"/>
    </row>
    <row r="545" spans="11:12" ht="15.75" customHeight="1" x14ac:dyDescent="0.25">
      <c r="K545" s="146"/>
      <c r="L545" s="146"/>
    </row>
    <row r="546" spans="11:12" ht="15.75" customHeight="1" x14ac:dyDescent="0.25">
      <c r="K546" s="146"/>
      <c r="L546" s="146"/>
    </row>
    <row r="547" spans="11:12" ht="15.75" customHeight="1" x14ac:dyDescent="0.25">
      <c r="K547" s="146"/>
      <c r="L547" s="146"/>
    </row>
    <row r="548" spans="11:12" ht="15.75" customHeight="1" x14ac:dyDescent="0.25">
      <c r="K548" s="146"/>
      <c r="L548" s="146"/>
    </row>
    <row r="549" spans="11:12" ht="15.75" customHeight="1" x14ac:dyDescent="0.25">
      <c r="K549" s="146"/>
      <c r="L549" s="146"/>
    </row>
    <row r="550" spans="11:12" ht="15.75" customHeight="1" x14ac:dyDescent="0.25">
      <c r="K550" s="146"/>
      <c r="L550" s="146"/>
    </row>
    <row r="551" spans="11:12" ht="15.75" customHeight="1" x14ac:dyDescent="0.25">
      <c r="K551" s="146"/>
      <c r="L551" s="146"/>
    </row>
    <row r="552" spans="11:12" ht="15.75" customHeight="1" x14ac:dyDescent="0.25">
      <c r="K552" s="146"/>
      <c r="L552" s="146"/>
    </row>
    <row r="553" spans="11:12" ht="15.75" customHeight="1" x14ac:dyDescent="0.25">
      <c r="K553" s="146"/>
      <c r="L553" s="146"/>
    </row>
    <row r="554" spans="11:12" ht="15.75" customHeight="1" x14ac:dyDescent="0.25">
      <c r="K554" s="146"/>
      <c r="L554" s="146"/>
    </row>
    <row r="555" spans="11:12" ht="15.75" customHeight="1" x14ac:dyDescent="0.25">
      <c r="K555" s="146"/>
      <c r="L555" s="146"/>
    </row>
    <row r="556" spans="11:12" ht="15.75" customHeight="1" x14ac:dyDescent="0.25">
      <c r="K556" s="146"/>
      <c r="L556" s="146"/>
    </row>
    <row r="557" spans="11:12" ht="15.75" customHeight="1" x14ac:dyDescent="0.25">
      <c r="K557" s="146"/>
      <c r="L557" s="146"/>
    </row>
    <row r="558" spans="11:12" ht="15.75" customHeight="1" x14ac:dyDescent="0.25">
      <c r="K558" s="146"/>
      <c r="L558" s="146"/>
    </row>
    <row r="559" spans="11:12" ht="15.75" customHeight="1" x14ac:dyDescent="0.25">
      <c r="K559" s="146"/>
      <c r="L559" s="146"/>
    </row>
    <row r="560" spans="11:12" ht="15.75" customHeight="1" x14ac:dyDescent="0.25">
      <c r="K560" s="146"/>
      <c r="L560" s="146"/>
    </row>
    <row r="561" spans="11:12" ht="15.75" customHeight="1" x14ac:dyDescent="0.25">
      <c r="K561" s="146"/>
      <c r="L561" s="146"/>
    </row>
    <row r="562" spans="11:12" ht="15.75" customHeight="1" x14ac:dyDescent="0.25">
      <c r="K562" s="146"/>
      <c r="L562" s="146"/>
    </row>
    <row r="563" spans="11:12" ht="15.75" customHeight="1" x14ac:dyDescent="0.25">
      <c r="K563" s="146"/>
      <c r="L563" s="146"/>
    </row>
    <row r="564" spans="11:12" ht="15.75" customHeight="1" x14ac:dyDescent="0.25">
      <c r="K564" s="146"/>
      <c r="L564" s="146"/>
    </row>
    <row r="565" spans="11:12" ht="15.75" customHeight="1" x14ac:dyDescent="0.25">
      <c r="K565" s="146"/>
      <c r="L565" s="146"/>
    </row>
    <row r="566" spans="11:12" ht="15.75" customHeight="1" x14ac:dyDescent="0.25">
      <c r="K566" s="146"/>
      <c r="L566" s="146"/>
    </row>
    <row r="567" spans="11:12" ht="15.75" customHeight="1" x14ac:dyDescent="0.25">
      <c r="K567" s="146"/>
      <c r="L567" s="146"/>
    </row>
    <row r="568" spans="11:12" ht="15.75" customHeight="1" x14ac:dyDescent="0.25">
      <c r="K568" s="146"/>
      <c r="L568" s="146"/>
    </row>
    <row r="569" spans="11:12" ht="15.75" customHeight="1" x14ac:dyDescent="0.25">
      <c r="K569" s="146"/>
      <c r="L569" s="146"/>
    </row>
    <row r="570" spans="11:12" ht="15.75" customHeight="1" x14ac:dyDescent="0.25">
      <c r="K570" s="146"/>
      <c r="L570" s="146"/>
    </row>
    <row r="571" spans="11:12" ht="15.75" customHeight="1" x14ac:dyDescent="0.25">
      <c r="K571" s="146"/>
      <c r="L571" s="146"/>
    </row>
    <row r="572" spans="11:12" ht="15.75" customHeight="1" x14ac:dyDescent="0.25">
      <c r="K572" s="146"/>
      <c r="L572" s="146"/>
    </row>
    <row r="573" spans="11:12" ht="15.75" customHeight="1" x14ac:dyDescent="0.25">
      <c r="K573" s="146"/>
      <c r="L573" s="146"/>
    </row>
    <row r="574" spans="11:12" ht="15.75" customHeight="1" x14ac:dyDescent="0.25">
      <c r="K574" s="146"/>
      <c r="L574" s="146"/>
    </row>
    <row r="575" spans="11:12" ht="15.75" customHeight="1" x14ac:dyDescent="0.25">
      <c r="K575" s="146"/>
      <c r="L575" s="146"/>
    </row>
    <row r="576" spans="11:12" ht="15.75" customHeight="1" x14ac:dyDescent="0.25">
      <c r="K576" s="146"/>
      <c r="L576" s="146"/>
    </row>
    <row r="577" spans="11:12" ht="15.75" customHeight="1" x14ac:dyDescent="0.25">
      <c r="K577" s="146"/>
      <c r="L577" s="146"/>
    </row>
    <row r="578" spans="11:12" ht="15.75" customHeight="1" x14ac:dyDescent="0.25">
      <c r="K578" s="146"/>
      <c r="L578" s="146"/>
    </row>
    <row r="579" spans="11:12" ht="15.75" customHeight="1" x14ac:dyDescent="0.25">
      <c r="K579" s="146"/>
      <c r="L579" s="146"/>
    </row>
    <row r="580" spans="11:12" ht="15.75" customHeight="1" x14ac:dyDescent="0.25">
      <c r="K580" s="146"/>
      <c r="L580" s="146"/>
    </row>
    <row r="581" spans="11:12" ht="15.75" customHeight="1" x14ac:dyDescent="0.25">
      <c r="K581" s="146"/>
      <c r="L581" s="146"/>
    </row>
    <row r="582" spans="11:12" ht="15.75" customHeight="1" x14ac:dyDescent="0.25">
      <c r="K582" s="146"/>
      <c r="L582" s="146"/>
    </row>
    <row r="583" spans="11:12" ht="15.75" customHeight="1" x14ac:dyDescent="0.25">
      <c r="K583" s="146"/>
      <c r="L583" s="146"/>
    </row>
    <row r="584" spans="11:12" ht="15.75" customHeight="1" x14ac:dyDescent="0.25">
      <c r="K584" s="146"/>
      <c r="L584" s="146"/>
    </row>
    <row r="585" spans="11:12" ht="15.75" customHeight="1" x14ac:dyDescent="0.25">
      <c r="K585" s="146"/>
      <c r="L585" s="146"/>
    </row>
    <row r="586" spans="11:12" ht="15.75" customHeight="1" x14ac:dyDescent="0.25">
      <c r="K586" s="146"/>
      <c r="L586" s="146"/>
    </row>
    <row r="587" spans="11:12" ht="15.75" customHeight="1" x14ac:dyDescent="0.25">
      <c r="K587" s="146"/>
      <c r="L587" s="146"/>
    </row>
    <row r="588" spans="11:12" ht="15.75" customHeight="1" x14ac:dyDescent="0.25">
      <c r="K588" s="146"/>
      <c r="L588" s="146"/>
    </row>
    <row r="589" spans="11:12" ht="15.75" customHeight="1" x14ac:dyDescent="0.25">
      <c r="K589" s="146"/>
      <c r="L589" s="146"/>
    </row>
    <row r="590" spans="11:12" ht="15.75" customHeight="1" x14ac:dyDescent="0.25">
      <c r="K590" s="146"/>
      <c r="L590" s="146"/>
    </row>
    <row r="591" spans="11:12" ht="15.75" customHeight="1" x14ac:dyDescent="0.25">
      <c r="K591" s="146"/>
      <c r="L591" s="146"/>
    </row>
    <row r="592" spans="11:12" ht="15.75" customHeight="1" x14ac:dyDescent="0.25">
      <c r="K592" s="146"/>
      <c r="L592" s="146"/>
    </row>
    <row r="593" spans="11:12" ht="15.75" customHeight="1" x14ac:dyDescent="0.25">
      <c r="K593" s="146"/>
      <c r="L593" s="146"/>
    </row>
    <row r="594" spans="11:12" ht="15.75" customHeight="1" x14ac:dyDescent="0.25">
      <c r="K594" s="146"/>
      <c r="L594" s="146"/>
    </row>
    <row r="595" spans="11:12" ht="15.75" customHeight="1" x14ac:dyDescent="0.25">
      <c r="K595" s="146"/>
      <c r="L595" s="146"/>
    </row>
    <row r="596" spans="11:12" ht="15.75" customHeight="1" x14ac:dyDescent="0.25">
      <c r="K596" s="146"/>
      <c r="L596" s="146"/>
    </row>
    <row r="597" spans="11:12" ht="15.75" customHeight="1" x14ac:dyDescent="0.25">
      <c r="K597" s="146"/>
      <c r="L597" s="146"/>
    </row>
    <row r="598" spans="11:12" ht="15.75" customHeight="1" x14ac:dyDescent="0.25">
      <c r="K598" s="146"/>
      <c r="L598" s="146"/>
    </row>
    <row r="599" spans="11:12" ht="15.75" customHeight="1" x14ac:dyDescent="0.25">
      <c r="K599" s="146"/>
      <c r="L599" s="146"/>
    </row>
    <row r="600" spans="11:12" ht="15.75" customHeight="1" x14ac:dyDescent="0.25">
      <c r="K600" s="146"/>
      <c r="L600" s="146"/>
    </row>
    <row r="601" spans="11:12" ht="15.75" customHeight="1" x14ac:dyDescent="0.25">
      <c r="K601" s="146"/>
      <c r="L601" s="146"/>
    </row>
    <row r="602" spans="11:12" ht="15.75" customHeight="1" x14ac:dyDescent="0.25">
      <c r="K602" s="146"/>
      <c r="L602" s="146"/>
    </row>
    <row r="603" spans="11:12" ht="15.75" customHeight="1" x14ac:dyDescent="0.25">
      <c r="K603" s="146"/>
      <c r="L603" s="146"/>
    </row>
    <row r="604" spans="11:12" ht="15.75" customHeight="1" x14ac:dyDescent="0.25">
      <c r="K604" s="146"/>
      <c r="L604" s="146"/>
    </row>
    <row r="605" spans="11:12" ht="15.75" customHeight="1" x14ac:dyDescent="0.25">
      <c r="K605" s="146"/>
      <c r="L605" s="146"/>
    </row>
    <row r="606" spans="11:12" ht="15.75" customHeight="1" x14ac:dyDescent="0.25">
      <c r="K606" s="146"/>
      <c r="L606" s="146"/>
    </row>
    <row r="607" spans="11:12" ht="15.75" customHeight="1" x14ac:dyDescent="0.25">
      <c r="K607" s="146"/>
      <c r="L607" s="146"/>
    </row>
    <row r="608" spans="11:12" ht="15.75" customHeight="1" x14ac:dyDescent="0.25">
      <c r="K608" s="146"/>
      <c r="L608" s="146"/>
    </row>
    <row r="609" spans="11:12" ht="15.75" customHeight="1" x14ac:dyDescent="0.25">
      <c r="K609" s="146"/>
      <c r="L609" s="146"/>
    </row>
    <row r="610" spans="11:12" ht="15.75" customHeight="1" x14ac:dyDescent="0.25">
      <c r="K610" s="146"/>
      <c r="L610" s="146"/>
    </row>
    <row r="611" spans="11:12" ht="15.75" customHeight="1" x14ac:dyDescent="0.25">
      <c r="K611" s="146"/>
      <c r="L611" s="146"/>
    </row>
    <row r="612" spans="11:12" ht="15.75" customHeight="1" x14ac:dyDescent="0.25">
      <c r="K612" s="146"/>
      <c r="L612" s="146"/>
    </row>
    <row r="613" spans="11:12" ht="15.75" customHeight="1" x14ac:dyDescent="0.25">
      <c r="K613" s="146"/>
      <c r="L613" s="146"/>
    </row>
    <row r="614" spans="11:12" ht="15.75" customHeight="1" x14ac:dyDescent="0.25">
      <c r="K614" s="146"/>
      <c r="L614" s="146"/>
    </row>
    <row r="615" spans="11:12" ht="15.75" customHeight="1" x14ac:dyDescent="0.25">
      <c r="K615" s="146"/>
      <c r="L615" s="146"/>
    </row>
    <row r="616" spans="11:12" ht="15.75" customHeight="1" x14ac:dyDescent="0.25">
      <c r="K616" s="146"/>
      <c r="L616" s="146"/>
    </row>
    <row r="617" spans="11:12" ht="15.75" customHeight="1" x14ac:dyDescent="0.25">
      <c r="K617" s="146"/>
      <c r="L617" s="146"/>
    </row>
    <row r="618" spans="11:12" ht="15.75" customHeight="1" x14ac:dyDescent="0.25">
      <c r="K618" s="146"/>
      <c r="L618" s="146"/>
    </row>
    <row r="619" spans="11:12" ht="15.75" customHeight="1" x14ac:dyDescent="0.25">
      <c r="K619" s="146"/>
      <c r="L619" s="146"/>
    </row>
    <row r="620" spans="11:12" ht="15.75" customHeight="1" x14ac:dyDescent="0.25">
      <c r="K620" s="146"/>
      <c r="L620" s="146"/>
    </row>
    <row r="621" spans="11:12" ht="15.75" customHeight="1" x14ac:dyDescent="0.25">
      <c r="K621" s="146"/>
      <c r="L621" s="146"/>
    </row>
    <row r="622" spans="11:12" ht="15.75" customHeight="1" x14ac:dyDescent="0.25">
      <c r="K622" s="146"/>
      <c r="L622" s="146"/>
    </row>
    <row r="623" spans="11:12" ht="15.75" customHeight="1" x14ac:dyDescent="0.25">
      <c r="K623" s="146"/>
      <c r="L623" s="146"/>
    </row>
    <row r="624" spans="11:12" ht="15.75" customHeight="1" x14ac:dyDescent="0.25">
      <c r="K624" s="146"/>
      <c r="L624" s="146"/>
    </row>
    <row r="625" spans="11:12" ht="15.75" customHeight="1" x14ac:dyDescent="0.25">
      <c r="K625" s="146"/>
      <c r="L625" s="146"/>
    </row>
    <row r="626" spans="11:12" ht="15.75" customHeight="1" x14ac:dyDescent="0.25">
      <c r="K626" s="146"/>
      <c r="L626" s="146"/>
    </row>
    <row r="627" spans="11:12" ht="15.75" customHeight="1" x14ac:dyDescent="0.25">
      <c r="K627" s="146"/>
      <c r="L627" s="146"/>
    </row>
    <row r="628" spans="11:12" ht="15.75" customHeight="1" x14ac:dyDescent="0.25">
      <c r="K628" s="146"/>
      <c r="L628" s="146"/>
    </row>
    <row r="629" spans="11:12" ht="15.75" customHeight="1" x14ac:dyDescent="0.25">
      <c r="K629" s="146"/>
      <c r="L629" s="146"/>
    </row>
    <row r="630" spans="11:12" ht="15.75" customHeight="1" x14ac:dyDescent="0.25">
      <c r="K630" s="146"/>
      <c r="L630" s="146"/>
    </row>
    <row r="631" spans="11:12" ht="15.75" customHeight="1" x14ac:dyDescent="0.25">
      <c r="K631" s="146"/>
      <c r="L631" s="146"/>
    </row>
    <row r="632" spans="11:12" ht="15.75" customHeight="1" x14ac:dyDescent="0.25">
      <c r="K632" s="146"/>
      <c r="L632" s="146"/>
    </row>
    <row r="633" spans="11:12" ht="15.75" customHeight="1" x14ac:dyDescent="0.25">
      <c r="K633" s="146"/>
      <c r="L633" s="146"/>
    </row>
    <row r="634" spans="11:12" ht="15.75" customHeight="1" x14ac:dyDescent="0.25">
      <c r="K634" s="146"/>
      <c r="L634" s="146"/>
    </row>
    <row r="635" spans="11:12" ht="15.75" customHeight="1" x14ac:dyDescent="0.25">
      <c r="K635" s="146"/>
      <c r="L635" s="146"/>
    </row>
    <row r="636" spans="11:12" ht="15.75" customHeight="1" x14ac:dyDescent="0.25">
      <c r="K636" s="146"/>
      <c r="L636" s="146"/>
    </row>
    <row r="637" spans="11:12" ht="15.75" customHeight="1" x14ac:dyDescent="0.25">
      <c r="K637" s="146"/>
      <c r="L637" s="146"/>
    </row>
    <row r="638" spans="11:12" ht="15.75" customHeight="1" x14ac:dyDescent="0.25">
      <c r="K638" s="146"/>
      <c r="L638" s="146"/>
    </row>
    <row r="639" spans="11:12" ht="15.75" customHeight="1" x14ac:dyDescent="0.25">
      <c r="K639" s="146"/>
      <c r="L639" s="146"/>
    </row>
    <row r="640" spans="11:12" ht="15.75" customHeight="1" x14ac:dyDescent="0.25">
      <c r="K640" s="146"/>
      <c r="L640" s="146"/>
    </row>
    <row r="641" spans="11:12" ht="15.75" customHeight="1" x14ac:dyDescent="0.25">
      <c r="K641" s="146"/>
      <c r="L641" s="146"/>
    </row>
    <row r="642" spans="11:12" ht="15.75" customHeight="1" x14ac:dyDescent="0.25">
      <c r="K642" s="146"/>
      <c r="L642" s="146"/>
    </row>
    <row r="643" spans="11:12" ht="15.75" customHeight="1" x14ac:dyDescent="0.25">
      <c r="K643" s="146"/>
      <c r="L643" s="146"/>
    </row>
    <row r="644" spans="11:12" ht="15.75" customHeight="1" x14ac:dyDescent="0.25">
      <c r="K644" s="146"/>
      <c r="L644" s="146"/>
    </row>
    <row r="645" spans="11:12" ht="15.75" customHeight="1" x14ac:dyDescent="0.25">
      <c r="K645" s="146"/>
      <c r="L645" s="146"/>
    </row>
    <row r="646" spans="11:12" ht="15.75" customHeight="1" x14ac:dyDescent="0.25">
      <c r="K646" s="146"/>
      <c r="L646" s="146"/>
    </row>
    <row r="647" spans="11:12" ht="15.75" customHeight="1" x14ac:dyDescent="0.25">
      <c r="K647" s="146"/>
      <c r="L647" s="146"/>
    </row>
    <row r="648" spans="11:12" ht="15.75" customHeight="1" x14ac:dyDescent="0.25">
      <c r="K648" s="146"/>
      <c r="L648" s="146"/>
    </row>
    <row r="649" spans="11:12" ht="15.75" customHeight="1" x14ac:dyDescent="0.25">
      <c r="K649" s="146"/>
      <c r="L649" s="146"/>
    </row>
    <row r="650" spans="11:12" ht="15.75" customHeight="1" x14ac:dyDescent="0.25">
      <c r="K650" s="146"/>
      <c r="L650" s="146"/>
    </row>
    <row r="651" spans="11:12" ht="15.75" customHeight="1" x14ac:dyDescent="0.25">
      <c r="K651" s="146"/>
      <c r="L651" s="146"/>
    </row>
    <row r="652" spans="11:12" ht="15.75" customHeight="1" x14ac:dyDescent="0.25">
      <c r="K652" s="146"/>
      <c r="L652" s="146"/>
    </row>
    <row r="653" spans="11:12" ht="15.75" customHeight="1" x14ac:dyDescent="0.25">
      <c r="K653" s="146"/>
      <c r="L653" s="146"/>
    </row>
    <row r="654" spans="11:12" ht="15.75" customHeight="1" x14ac:dyDescent="0.25">
      <c r="K654" s="146"/>
      <c r="L654" s="146"/>
    </row>
    <row r="655" spans="11:12" ht="15.75" customHeight="1" x14ac:dyDescent="0.25">
      <c r="K655" s="146"/>
      <c r="L655" s="146"/>
    </row>
    <row r="656" spans="11:12" ht="15.75" customHeight="1" x14ac:dyDescent="0.25">
      <c r="K656" s="146"/>
      <c r="L656" s="146"/>
    </row>
    <row r="657" spans="11:12" ht="15.75" customHeight="1" x14ac:dyDescent="0.25">
      <c r="K657" s="146"/>
      <c r="L657" s="146"/>
    </row>
    <row r="658" spans="11:12" ht="15.75" customHeight="1" x14ac:dyDescent="0.25">
      <c r="K658" s="146"/>
      <c r="L658" s="146"/>
    </row>
    <row r="659" spans="11:12" ht="15.75" customHeight="1" x14ac:dyDescent="0.25">
      <c r="K659" s="146"/>
      <c r="L659" s="146"/>
    </row>
    <row r="660" spans="11:12" ht="15.75" customHeight="1" x14ac:dyDescent="0.25">
      <c r="K660" s="146"/>
      <c r="L660" s="146"/>
    </row>
    <row r="661" spans="11:12" ht="15.75" customHeight="1" x14ac:dyDescent="0.25">
      <c r="K661" s="146"/>
      <c r="L661" s="146"/>
    </row>
    <row r="662" spans="11:12" ht="15.75" customHeight="1" x14ac:dyDescent="0.25">
      <c r="K662" s="146"/>
      <c r="L662" s="146"/>
    </row>
    <row r="663" spans="11:12" ht="15.75" customHeight="1" x14ac:dyDescent="0.25">
      <c r="K663" s="146"/>
      <c r="L663" s="146"/>
    </row>
    <row r="664" spans="11:12" ht="15.75" customHeight="1" x14ac:dyDescent="0.25">
      <c r="K664" s="146"/>
      <c r="L664" s="146"/>
    </row>
    <row r="665" spans="11:12" ht="15.75" customHeight="1" x14ac:dyDescent="0.25">
      <c r="K665" s="146"/>
      <c r="L665" s="146"/>
    </row>
    <row r="666" spans="11:12" ht="15.75" customHeight="1" x14ac:dyDescent="0.25">
      <c r="K666" s="146"/>
      <c r="L666" s="146"/>
    </row>
    <row r="667" spans="11:12" ht="15.75" customHeight="1" x14ac:dyDescent="0.25">
      <c r="K667" s="146"/>
      <c r="L667" s="146"/>
    </row>
    <row r="668" spans="11:12" ht="15.75" customHeight="1" x14ac:dyDescent="0.25">
      <c r="K668" s="146"/>
      <c r="L668" s="146"/>
    </row>
    <row r="669" spans="11:12" ht="15.75" customHeight="1" x14ac:dyDescent="0.25">
      <c r="K669" s="146"/>
      <c r="L669" s="146"/>
    </row>
    <row r="670" spans="11:12" ht="15.75" customHeight="1" x14ac:dyDescent="0.25">
      <c r="K670" s="146"/>
      <c r="L670" s="146"/>
    </row>
    <row r="671" spans="11:12" ht="15.75" customHeight="1" x14ac:dyDescent="0.25">
      <c r="K671" s="146"/>
      <c r="L671" s="146"/>
    </row>
    <row r="672" spans="11:12" ht="15.75" customHeight="1" x14ac:dyDescent="0.25">
      <c r="K672" s="146"/>
      <c r="L672" s="146"/>
    </row>
    <row r="673" spans="11:12" ht="15.75" customHeight="1" x14ac:dyDescent="0.25">
      <c r="K673" s="146"/>
      <c r="L673" s="146"/>
    </row>
    <row r="674" spans="11:12" ht="15.75" customHeight="1" x14ac:dyDescent="0.25">
      <c r="K674" s="146"/>
      <c r="L674" s="146"/>
    </row>
    <row r="675" spans="11:12" ht="15.75" customHeight="1" x14ac:dyDescent="0.25">
      <c r="K675" s="146"/>
      <c r="L675" s="146"/>
    </row>
    <row r="676" spans="11:12" ht="15.75" customHeight="1" x14ac:dyDescent="0.25">
      <c r="K676" s="146"/>
      <c r="L676" s="146"/>
    </row>
    <row r="677" spans="11:12" ht="15.75" customHeight="1" x14ac:dyDescent="0.25">
      <c r="K677" s="146"/>
      <c r="L677" s="146"/>
    </row>
    <row r="678" spans="11:12" ht="15.75" customHeight="1" x14ac:dyDescent="0.25">
      <c r="K678" s="146"/>
      <c r="L678" s="146"/>
    </row>
    <row r="679" spans="11:12" ht="15.75" customHeight="1" x14ac:dyDescent="0.25">
      <c r="K679" s="146"/>
      <c r="L679" s="146"/>
    </row>
    <row r="680" spans="11:12" ht="15.75" customHeight="1" x14ac:dyDescent="0.25">
      <c r="K680" s="146"/>
      <c r="L680" s="146"/>
    </row>
    <row r="681" spans="11:12" ht="15.75" customHeight="1" x14ac:dyDescent="0.25">
      <c r="K681" s="146"/>
      <c r="L681" s="146"/>
    </row>
    <row r="682" spans="11:12" ht="15.75" customHeight="1" x14ac:dyDescent="0.25">
      <c r="K682" s="146"/>
      <c r="L682" s="146"/>
    </row>
    <row r="683" spans="11:12" ht="15.75" customHeight="1" x14ac:dyDescent="0.25">
      <c r="K683" s="146"/>
      <c r="L683" s="146"/>
    </row>
    <row r="684" spans="11:12" ht="15.75" customHeight="1" x14ac:dyDescent="0.25">
      <c r="K684" s="146"/>
      <c r="L684" s="146"/>
    </row>
    <row r="685" spans="11:12" ht="15.75" customHeight="1" x14ac:dyDescent="0.25">
      <c r="K685" s="146"/>
      <c r="L685" s="146"/>
    </row>
    <row r="686" spans="11:12" ht="15.75" customHeight="1" x14ac:dyDescent="0.25">
      <c r="K686" s="146"/>
      <c r="L686" s="146"/>
    </row>
    <row r="687" spans="11:12" ht="15.75" customHeight="1" x14ac:dyDescent="0.25">
      <c r="K687" s="146"/>
      <c r="L687" s="146"/>
    </row>
    <row r="688" spans="11:12" ht="15.75" customHeight="1" x14ac:dyDescent="0.25">
      <c r="K688" s="146"/>
      <c r="L688" s="146"/>
    </row>
    <row r="689" spans="11:12" ht="15.75" customHeight="1" x14ac:dyDescent="0.25">
      <c r="K689" s="146"/>
      <c r="L689" s="146"/>
    </row>
    <row r="690" spans="11:12" ht="15.75" customHeight="1" x14ac:dyDescent="0.25">
      <c r="K690" s="146"/>
      <c r="L690" s="146"/>
    </row>
    <row r="691" spans="11:12" ht="15.75" customHeight="1" x14ac:dyDescent="0.25">
      <c r="K691" s="146"/>
      <c r="L691" s="146"/>
    </row>
    <row r="692" spans="11:12" ht="15.75" customHeight="1" x14ac:dyDescent="0.25">
      <c r="K692" s="146"/>
      <c r="L692" s="146"/>
    </row>
    <row r="693" spans="11:12" ht="15.75" customHeight="1" x14ac:dyDescent="0.25">
      <c r="K693" s="146"/>
      <c r="L693" s="146"/>
    </row>
    <row r="694" spans="11:12" ht="15.75" customHeight="1" x14ac:dyDescent="0.25">
      <c r="K694" s="146"/>
      <c r="L694" s="146"/>
    </row>
    <row r="695" spans="11:12" ht="15.75" customHeight="1" x14ac:dyDescent="0.25">
      <c r="K695" s="146"/>
      <c r="L695" s="146"/>
    </row>
    <row r="696" spans="11:12" ht="15.75" customHeight="1" x14ac:dyDescent="0.25">
      <c r="K696" s="146"/>
      <c r="L696" s="146"/>
    </row>
    <row r="697" spans="11:12" ht="15.75" customHeight="1" x14ac:dyDescent="0.25">
      <c r="K697" s="146"/>
      <c r="L697" s="146"/>
    </row>
    <row r="698" spans="11:12" ht="15.75" customHeight="1" x14ac:dyDescent="0.25">
      <c r="K698" s="146"/>
      <c r="L698" s="146"/>
    </row>
    <row r="699" spans="11:12" ht="15.75" customHeight="1" x14ac:dyDescent="0.25">
      <c r="K699" s="146"/>
      <c r="L699" s="146"/>
    </row>
    <row r="700" spans="11:12" ht="15.75" customHeight="1" x14ac:dyDescent="0.25">
      <c r="K700" s="146"/>
      <c r="L700" s="146"/>
    </row>
    <row r="701" spans="11:12" ht="15.75" customHeight="1" x14ac:dyDescent="0.25">
      <c r="K701" s="146"/>
      <c r="L701" s="146"/>
    </row>
    <row r="702" spans="11:12" ht="15.75" customHeight="1" x14ac:dyDescent="0.25">
      <c r="K702" s="146"/>
      <c r="L702" s="146"/>
    </row>
    <row r="703" spans="11:12" ht="15.75" customHeight="1" x14ac:dyDescent="0.25">
      <c r="K703" s="146"/>
      <c r="L703" s="146"/>
    </row>
    <row r="704" spans="11:12" ht="15.75" customHeight="1" x14ac:dyDescent="0.25">
      <c r="K704" s="146"/>
      <c r="L704" s="146"/>
    </row>
    <row r="705" spans="11:12" ht="15.75" customHeight="1" x14ac:dyDescent="0.25">
      <c r="K705" s="146"/>
      <c r="L705" s="146"/>
    </row>
    <row r="706" spans="11:12" ht="15.75" customHeight="1" x14ac:dyDescent="0.25">
      <c r="K706" s="146"/>
      <c r="L706" s="146"/>
    </row>
    <row r="707" spans="11:12" ht="15.75" customHeight="1" x14ac:dyDescent="0.25">
      <c r="K707" s="146"/>
      <c r="L707" s="146"/>
    </row>
    <row r="708" spans="11:12" ht="15.75" customHeight="1" x14ac:dyDescent="0.25">
      <c r="K708" s="146"/>
      <c r="L708" s="146"/>
    </row>
    <row r="709" spans="11:12" ht="15.75" customHeight="1" x14ac:dyDescent="0.25">
      <c r="K709" s="146"/>
      <c r="L709" s="146"/>
    </row>
    <row r="710" spans="11:12" ht="15.75" customHeight="1" x14ac:dyDescent="0.25">
      <c r="K710" s="146"/>
      <c r="L710" s="146"/>
    </row>
    <row r="711" spans="11:12" ht="15.75" customHeight="1" x14ac:dyDescent="0.25">
      <c r="K711" s="146"/>
      <c r="L711" s="146"/>
    </row>
    <row r="712" spans="11:12" ht="15.75" customHeight="1" x14ac:dyDescent="0.25">
      <c r="K712" s="146"/>
      <c r="L712" s="146"/>
    </row>
    <row r="713" spans="11:12" ht="15.75" customHeight="1" x14ac:dyDescent="0.25">
      <c r="K713" s="146"/>
      <c r="L713" s="146"/>
    </row>
    <row r="714" spans="11:12" ht="15.75" customHeight="1" x14ac:dyDescent="0.25">
      <c r="K714" s="146"/>
      <c r="L714" s="146"/>
    </row>
    <row r="715" spans="11:12" ht="15.75" customHeight="1" x14ac:dyDescent="0.25">
      <c r="K715" s="146"/>
      <c r="L715" s="146"/>
    </row>
    <row r="716" spans="11:12" ht="15.75" customHeight="1" x14ac:dyDescent="0.25">
      <c r="K716" s="146"/>
      <c r="L716" s="146"/>
    </row>
    <row r="717" spans="11:12" ht="15.75" customHeight="1" x14ac:dyDescent="0.25">
      <c r="K717" s="146"/>
      <c r="L717" s="146"/>
    </row>
    <row r="718" spans="11:12" ht="15.75" customHeight="1" x14ac:dyDescent="0.25">
      <c r="K718" s="146"/>
      <c r="L718" s="146"/>
    </row>
    <row r="719" spans="11:12" ht="15.75" customHeight="1" x14ac:dyDescent="0.25">
      <c r="K719" s="146"/>
      <c r="L719" s="146"/>
    </row>
    <row r="720" spans="11:12" ht="15.75" customHeight="1" x14ac:dyDescent="0.25">
      <c r="K720" s="146"/>
      <c r="L720" s="146"/>
    </row>
    <row r="721" spans="11:12" ht="15.75" customHeight="1" x14ac:dyDescent="0.25">
      <c r="K721" s="146"/>
      <c r="L721" s="146"/>
    </row>
    <row r="722" spans="11:12" ht="15.75" customHeight="1" x14ac:dyDescent="0.25">
      <c r="K722" s="146"/>
      <c r="L722" s="146"/>
    </row>
    <row r="723" spans="11:12" ht="15.75" customHeight="1" x14ac:dyDescent="0.25">
      <c r="K723" s="146"/>
      <c r="L723" s="146"/>
    </row>
    <row r="724" spans="11:12" ht="15.75" customHeight="1" x14ac:dyDescent="0.25">
      <c r="K724" s="146"/>
      <c r="L724" s="146"/>
    </row>
    <row r="725" spans="11:12" ht="15.75" customHeight="1" x14ac:dyDescent="0.25">
      <c r="K725" s="146"/>
      <c r="L725" s="146"/>
    </row>
    <row r="726" spans="11:12" ht="15.75" customHeight="1" x14ac:dyDescent="0.25">
      <c r="K726" s="146"/>
      <c r="L726" s="146"/>
    </row>
    <row r="727" spans="11:12" ht="15.75" customHeight="1" x14ac:dyDescent="0.25">
      <c r="K727" s="146"/>
      <c r="L727" s="146"/>
    </row>
    <row r="728" spans="11:12" ht="15.75" customHeight="1" x14ac:dyDescent="0.25">
      <c r="K728" s="146"/>
      <c r="L728" s="146"/>
    </row>
    <row r="729" spans="11:12" ht="15.75" customHeight="1" x14ac:dyDescent="0.25">
      <c r="K729" s="146"/>
      <c r="L729" s="146"/>
    </row>
    <row r="730" spans="11:12" ht="15.75" customHeight="1" x14ac:dyDescent="0.25">
      <c r="K730" s="146"/>
      <c r="L730" s="146"/>
    </row>
    <row r="731" spans="11:12" ht="15.75" customHeight="1" x14ac:dyDescent="0.25">
      <c r="K731" s="146"/>
      <c r="L731" s="146"/>
    </row>
    <row r="732" spans="11:12" ht="15.75" customHeight="1" x14ac:dyDescent="0.25">
      <c r="K732" s="146"/>
      <c r="L732" s="146"/>
    </row>
    <row r="733" spans="11:12" ht="15.75" customHeight="1" x14ac:dyDescent="0.25">
      <c r="K733" s="146"/>
      <c r="L733" s="146"/>
    </row>
    <row r="734" spans="11:12" ht="15.75" customHeight="1" x14ac:dyDescent="0.25">
      <c r="K734" s="146"/>
      <c r="L734" s="146"/>
    </row>
    <row r="735" spans="11:12" ht="15.75" customHeight="1" x14ac:dyDescent="0.25">
      <c r="K735" s="146"/>
      <c r="L735" s="146"/>
    </row>
    <row r="736" spans="11:12" ht="15.75" customHeight="1" x14ac:dyDescent="0.25">
      <c r="K736" s="146"/>
      <c r="L736" s="146"/>
    </row>
    <row r="737" spans="11:12" ht="15.75" customHeight="1" x14ac:dyDescent="0.25">
      <c r="K737" s="146"/>
      <c r="L737" s="146"/>
    </row>
    <row r="738" spans="11:12" ht="15.75" customHeight="1" x14ac:dyDescent="0.25">
      <c r="K738" s="146"/>
      <c r="L738" s="146"/>
    </row>
    <row r="739" spans="11:12" ht="15.75" customHeight="1" x14ac:dyDescent="0.25">
      <c r="K739" s="146"/>
      <c r="L739" s="146"/>
    </row>
    <row r="740" spans="11:12" ht="15.75" customHeight="1" x14ac:dyDescent="0.25">
      <c r="K740" s="146"/>
      <c r="L740" s="146"/>
    </row>
    <row r="741" spans="11:12" ht="15.75" customHeight="1" x14ac:dyDescent="0.25">
      <c r="K741" s="146"/>
      <c r="L741" s="146"/>
    </row>
    <row r="742" spans="11:12" ht="15.75" customHeight="1" x14ac:dyDescent="0.25">
      <c r="K742" s="146"/>
      <c r="L742" s="146"/>
    </row>
    <row r="743" spans="11:12" ht="15.75" customHeight="1" x14ac:dyDescent="0.25">
      <c r="K743" s="146"/>
      <c r="L743" s="146"/>
    </row>
    <row r="744" spans="11:12" ht="15.75" customHeight="1" x14ac:dyDescent="0.25">
      <c r="K744" s="146"/>
      <c r="L744" s="146"/>
    </row>
    <row r="745" spans="11:12" ht="15.75" customHeight="1" x14ac:dyDescent="0.25">
      <c r="K745" s="146"/>
      <c r="L745" s="146"/>
    </row>
    <row r="746" spans="11:12" ht="15.75" customHeight="1" x14ac:dyDescent="0.25">
      <c r="K746" s="146"/>
      <c r="L746" s="146"/>
    </row>
    <row r="747" spans="11:12" ht="15.75" customHeight="1" x14ac:dyDescent="0.25">
      <c r="K747" s="146"/>
      <c r="L747" s="146"/>
    </row>
    <row r="748" spans="11:12" ht="15.75" customHeight="1" x14ac:dyDescent="0.25">
      <c r="K748" s="146"/>
      <c r="L748" s="146"/>
    </row>
    <row r="749" spans="11:12" ht="15.75" customHeight="1" x14ac:dyDescent="0.25">
      <c r="K749" s="146"/>
      <c r="L749" s="146"/>
    </row>
    <row r="750" spans="11:12" ht="15.75" customHeight="1" x14ac:dyDescent="0.25">
      <c r="K750" s="146"/>
      <c r="L750" s="146"/>
    </row>
    <row r="751" spans="11:12" ht="15.75" customHeight="1" x14ac:dyDescent="0.25">
      <c r="K751" s="146"/>
      <c r="L751" s="146"/>
    </row>
    <row r="752" spans="11:12" ht="15.75" customHeight="1" x14ac:dyDescent="0.25">
      <c r="K752" s="146"/>
      <c r="L752" s="146"/>
    </row>
    <row r="753" spans="11:12" ht="15.75" customHeight="1" x14ac:dyDescent="0.25">
      <c r="K753" s="146"/>
      <c r="L753" s="146"/>
    </row>
    <row r="754" spans="11:12" ht="15.75" customHeight="1" x14ac:dyDescent="0.25">
      <c r="K754" s="146"/>
      <c r="L754" s="146"/>
    </row>
    <row r="755" spans="11:12" ht="15.75" customHeight="1" x14ac:dyDescent="0.25">
      <c r="K755" s="146"/>
      <c r="L755" s="146"/>
    </row>
    <row r="756" spans="11:12" ht="15.75" customHeight="1" x14ac:dyDescent="0.25">
      <c r="K756" s="146"/>
      <c r="L756" s="146"/>
    </row>
    <row r="757" spans="11:12" ht="15.75" customHeight="1" x14ac:dyDescent="0.25">
      <c r="K757" s="146"/>
      <c r="L757" s="146"/>
    </row>
    <row r="758" spans="11:12" ht="15.75" customHeight="1" x14ac:dyDescent="0.25">
      <c r="K758" s="146"/>
      <c r="L758" s="146"/>
    </row>
    <row r="759" spans="11:12" ht="15.75" customHeight="1" x14ac:dyDescent="0.25">
      <c r="K759" s="146"/>
      <c r="L759" s="146"/>
    </row>
    <row r="760" spans="11:12" ht="15.75" customHeight="1" x14ac:dyDescent="0.25">
      <c r="K760" s="146"/>
      <c r="L760" s="146"/>
    </row>
    <row r="761" spans="11:12" ht="15.75" customHeight="1" x14ac:dyDescent="0.25">
      <c r="K761" s="146"/>
      <c r="L761" s="146"/>
    </row>
    <row r="762" spans="11:12" ht="15.75" customHeight="1" x14ac:dyDescent="0.25">
      <c r="K762" s="146"/>
      <c r="L762" s="146"/>
    </row>
    <row r="763" spans="11:12" ht="15.75" customHeight="1" x14ac:dyDescent="0.25">
      <c r="K763" s="146"/>
      <c r="L763" s="146"/>
    </row>
    <row r="764" spans="11:12" ht="15.75" customHeight="1" x14ac:dyDescent="0.25">
      <c r="K764" s="146"/>
      <c r="L764" s="146"/>
    </row>
    <row r="765" spans="11:12" ht="15.75" customHeight="1" x14ac:dyDescent="0.25">
      <c r="K765" s="146"/>
      <c r="L765" s="146"/>
    </row>
    <row r="766" spans="11:12" ht="15.75" customHeight="1" x14ac:dyDescent="0.25">
      <c r="K766" s="146"/>
      <c r="L766" s="146"/>
    </row>
    <row r="767" spans="11:12" ht="15.75" customHeight="1" x14ac:dyDescent="0.25">
      <c r="K767" s="146"/>
      <c r="L767" s="146"/>
    </row>
    <row r="768" spans="11:12" ht="15.75" customHeight="1" x14ac:dyDescent="0.25">
      <c r="K768" s="146"/>
      <c r="L768" s="146"/>
    </row>
    <row r="769" spans="11:12" ht="15.75" customHeight="1" x14ac:dyDescent="0.25">
      <c r="K769" s="146"/>
      <c r="L769" s="146"/>
    </row>
    <row r="770" spans="11:12" ht="15.75" customHeight="1" x14ac:dyDescent="0.25">
      <c r="K770" s="146"/>
      <c r="L770" s="146"/>
    </row>
    <row r="771" spans="11:12" ht="15.75" customHeight="1" x14ac:dyDescent="0.25">
      <c r="K771" s="146"/>
      <c r="L771" s="146"/>
    </row>
    <row r="772" spans="11:12" ht="15.75" customHeight="1" x14ac:dyDescent="0.25">
      <c r="K772" s="146"/>
      <c r="L772" s="146"/>
    </row>
    <row r="773" spans="11:12" ht="15.75" customHeight="1" x14ac:dyDescent="0.25">
      <c r="K773" s="146"/>
      <c r="L773" s="146"/>
    </row>
    <row r="774" spans="11:12" ht="15.75" customHeight="1" x14ac:dyDescent="0.25">
      <c r="K774" s="146"/>
      <c r="L774" s="146"/>
    </row>
    <row r="775" spans="11:12" ht="15.75" customHeight="1" x14ac:dyDescent="0.25">
      <c r="K775" s="146"/>
      <c r="L775" s="146"/>
    </row>
    <row r="776" spans="11:12" ht="15.75" customHeight="1" x14ac:dyDescent="0.25">
      <c r="K776" s="146"/>
      <c r="L776" s="146"/>
    </row>
    <row r="777" spans="11:12" ht="15.75" customHeight="1" x14ac:dyDescent="0.25">
      <c r="K777" s="146"/>
      <c r="L777" s="146"/>
    </row>
    <row r="778" spans="11:12" ht="15.75" customHeight="1" x14ac:dyDescent="0.25">
      <c r="K778" s="146"/>
      <c r="L778" s="146"/>
    </row>
    <row r="779" spans="11:12" ht="15.75" customHeight="1" x14ac:dyDescent="0.25">
      <c r="K779" s="146"/>
      <c r="L779" s="146"/>
    </row>
    <row r="780" spans="11:12" ht="15.75" customHeight="1" x14ac:dyDescent="0.25">
      <c r="K780" s="146"/>
      <c r="L780" s="146"/>
    </row>
    <row r="781" spans="11:12" ht="15.75" customHeight="1" x14ac:dyDescent="0.25">
      <c r="K781" s="146"/>
      <c r="L781" s="146"/>
    </row>
    <row r="782" spans="11:12" ht="15.75" customHeight="1" x14ac:dyDescent="0.25">
      <c r="K782" s="146"/>
      <c r="L782" s="146"/>
    </row>
    <row r="783" spans="11:12" ht="15.75" customHeight="1" x14ac:dyDescent="0.25">
      <c r="K783" s="146"/>
      <c r="L783" s="146"/>
    </row>
    <row r="784" spans="11:12" ht="15.75" customHeight="1" x14ac:dyDescent="0.25">
      <c r="K784" s="146"/>
      <c r="L784" s="146"/>
    </row>
    <row r="785" spans="11:12" ht="15.75" customHeight="1" x14ac:dyDescent="0.25">
      <c r="K785" s="146"/>
      <c r="L785" s="146"/>
    </row>
    <row r="786" spans="11:12" ht="15.75" customHeight="1" x14ac:dyDescent="0.25">
      <c r="K786" s="146"/>
      <c r="L786" s="146"/>
    </row>
    <row r="787" spans="11:12" ht="15.75" customHeight="1" x14ac:dyDescent="0.25">
      <c r="K787" s="146"/>
      <c r="L787" s="146"/>
    </row>
    <row r="788" spans="11:12" ht="15.75" customHeight="1" x14ac:dyDescent="0.25">
      <c r="K788" s="146"/>
      <c r="L788" s="146"/>
    </row>
    <row r="789" spans="11:12" ht="15.75" customHeight="1" x14ac:dyDescent="0.25">
      <c r="K789" s="146"/>
      <c r="L789" s="146"/>
    </row>
    <row r="790" spans="11:12" ht="15.75" customHeight="1" x14ac:dyDescent="0.25">
      <c r="K790" s="146"/>
      <c r="L790" s="146"/>
    </row>
    <row r="791" spans="11:12" ht="15.75" customHeight="1" x14ac:dyDescent="0.25">
      <c r="K791" s="146"/>
      <c r="L791" s="146"/>
    </row>
    <row r="792" spans="11:12" ht="15.75" customHeight="1" x14ac:dyDescent="0.25">
      <c r="K792" s="146"/>
      <c r="L792" s="146"/>
    </row>
    <row r="793" spans="11:12" ht="15.75" customHeight="1" x14ac:dyDescent="0.25">
      <c r="K793" s="146"/>
      <c r="L793" s="146"/>
    </row>
    <row r="794" spans="11:12" ht="15.75" customHeight="1" x14ac:dyDescent="0.25">
      <c r="K794" s="146"/>
      <c r="L794" s="146"/>
    </row>
    <row r="795" spans="11:12" ht="15.75" customHeight="1" x14ac:dyDescent="0.25">
      <c r="K795" s="146"/>
      <c r="L795" s="146"/>
    </row>
    <row r="796" spans="11:12" ht="15.75" customHeight="1" x14ac:dyDescent="0.25">
      <c r="K796" s="146"/>
      <c r="L796" s="146"/>
    </row>
    <row r="797" spans="11:12" ht="15.75" customHeight="1" x14ac:dyDescent="0.25">
      <c r="K797" s="146"/>
      <c r="L797" s="146"/>
    </row>
    <row r="798" spans="11:12" ht="15.75" customHeight="1" x14ac:dyDescent="0.25">
      <c r="K798" s="146"/>
      <c r="L798" s="146"/>
    </row>
    <row r="799" spans="11:12" ht="15.75" customHeight="1" x14ac:dyDescent="0.25">
      <c r="K799" s="146"/>
      <c r="L799" s="146"/>
    </row>
    <row r="800" spans="11:12" ht="15.75" customHeight="1" x14ac:dyDescent="0.25">
      <c r="K800" s="146"/>
      <c r="L800" s="146"/>
    </row>
    <row r="801" spans="11:12" ht="15.75" customHeight="1" x14ac:dyDescent="0.25">
      <c r="K801" s="146"/>
      <c r="L801" s="146"/>
    </row>
    <row r="802" spans="11:12" ht="15.75" customHeight="1" x14ac:dyDescent="0.25">
      <c r="K802" s="146"/>
      <c r="L802" s="146"/>
    </row>
    <row r="803" spans="11:12" ht="15.75" customHeight="1" x14ac:dyDescent="0.25">
      <c r="K803" s="146"/>
      <c r="L803" s="146"/>
    </row>
    <row r="804" spans="11:12" ht="15.75" customHeight="1" x14ac:dyDescent="0.25">
      <c r="K804" s="146"/>
      <c r="L804" s="146"/>
    </row>
    <row r="805" spans="11:12" ht="15.75" customHeight="1" x14ac:dyDescent="0.25">
      <c r="K805" s="146"/>
      <c r="L805" s="146"/>
    </row>
    <row r="806" spans="11:12" ht="15.75" customHeight="1" x14ac:dyDescent="0.25">
      <c r="K806" s="146"/>
      <c r="L806" s="146"/>
    </row>
    <row r="807" spans="11:12" ht="15.75" customHeight="1" x14ac:dyDescent="0.25">
      <c r="K807" s="146"/>
      <c r="L807" s="146"/>
    </row>
    <row r="808" spans="11:12" ht="15.75" customHeight="1" x14ac:dyDescent="0.25">
      <c r="K808" s="146"/>
      <c r="L808" s="146"/>
    </row>
    <row r="809" spans="11:12" ht="15.75" customHeight="1" x14ac:dyDescent="0.25">
      <c r="K809" s="146"/>
      <c r="L809" s="146"/>
    </row>
    <row r="810" spans="11:12" ht="15.75" customHeight="1" x14ac:dyDescent="0.25">
      <c r="K810" s="146"/>
      <c r="L810" s="146"/>
    </row>
    <row r="811" spans="11:12" ht="15.75" customHeight="1" x14ac:dyDescent="0.25">
      <c r="K811" s="146"/>
      <c r="L811" s="146"/>
    </row>
    <row r="812" spans="11:12" ht="15.75" customHeight="1" x14ac:dyDescent="0.25">
      <c r="K812" s="146"/>
      <c r="L812" s="146"/>
    </row>
    <row r="813" spans="11:12" ht="15.75" customHeight="1" x14ac:dyDescent="0.25">
      <c r="K813" s="146"/>
      <c r="L813" s="146"/>
    </row>
    <row r="814" spans="11:12" ht="15.75" customHeight="1" x14ac:dyDescent="0.25">
      <c r="K814" s="146"/>
      <c r="L814" s="146"/>
    </row>
    <row r="815" spans="11:12" ht="15.75" customHeight="1" x14ac:dyDescent="0.25">
      <c r="K815" s="146"/>
      <c r="L815" s="146"/>
    </row>
    <row r="816" spans="11:12" ht="15.75" customHeight="1" x14ac:dyDescent="0.25">
      <c r="K816" s="146"/>
      <c r="L816" s="146"/>
    </row>
    <row r="817" spans="11:12" ht="15.75" customHeight="1" x14ac:dyDescent="0.25">
      <c r="K817" s="146"/>
      <c r="L817" s="146"/>
    </row>
    <row r="818" spans="11:12" ht="15.75" customHeight="1" x14ac:dyDescent="0.25">
      <c r="K818" s="146"/>
      <c r="L818" s="146"/>
    </row>
    <row r="819" spans="11:12" ht="15.75" customHeight="1" x14ac:dyDescent="0.25">
      <c r="K819" s="146"/>
      <c r="L819" s="146"/>
    </row>
    <row r="820" spans="11:12" ht="15.75" customHeight="1" x14ac:dyDescent="0.25">
      <c r="K820" s="146"/>
      <c r="L820" s="146"/>
    </row>
    <row r="821" spans="11:12" ht="15.75" customHeight="1" x14ac:dyDescent="0.25">
      <c r="K821" s="146"/>
      <c r="L821" s="146"/>
    </row>
    <row r="822" spans="11:12" ht="15.75" customHeight="1" x14ac:dyDescent="0.25">
      <c r="K822" s="146"/>
      <c r="L822" s="146"/>
    </row>
    <row r="823" spans="11:12" ht="15.75" customHeight="1" x14ac:dyDescent="0.25">
      <c r="K823" s="146"/>
      <c r="L823" s="146"/>
    </row>
    <row r="824" spans="11:12" ht="15.75" customHeight="1" x14ac:dyDescent="0.25">
      <c r="K824" s="146"/>
      <c r="L824" s="146"/>
    </row>
    <row r="825" spans="11:12" ht="15.75" customHeight="1" x14ac:dyDescent="0.25">
      <c r="K825" s="146"/>
      <c r="L825" s="146"/>
    </row>
    <row r="826" spans="11:12" ht="15.75" customHeight="1" x14ac:dyDescent="0.25">
      <c r="K826" s="146"/>
      <c r="L826" s="146"/>
    </row>
    <row r="827" spans="11:12" ht="15.75" customHeight="1" x14ac:dyDescent="0.25">
      <c r="K827" s="146"/>
      <c r="L827" s="146"/>
    </row>
    <row r="828" spans="11:12" ht="15.75" customHeight="1" x14ac:dyDescent="0.25">
      <c r="K828" s="146"/>
      <c r="L828" s="146"/>
    </row>
    <row r="829" spans="11:12" ht="15.75" customHeight="1" x14ac:dyDescent="0.25">
      <c r="K829" s="146"/>
      <c r="L829" s="146"/>
    </row>
    <row r="830" spans="11:12" ht="15.75" customHeight="1" x14ac:dyDescent="0.25">
      <c r="K830" s="146"/>
      <c r="L830" s="146"/>
    </row>
    <row r="831" spans="11:12" ht="15.75" customHeight="1" x14ac:dyDescent="0.25">
      <c r="K831" s="146"/>
      <c r="L831" s="146"/>
    </row>
    <row r="832" spans="11:12" ht="15.75" customHeight="1" x14ac:dyDescent="0.25">
      <c r="K832" s="146"/>
      <c r="L832" s="146"/>
    </row>
    <row r="833" spans="11:12" ht="15.75" customHeight="1" x14ac:dyDescent="0.25">
      <c r="K833" s="146"/>
      <c r="L833" s="146"/>
    </row>
    <row r="834" spans="11:12" ht="15.75" customHeight="1" x14ac:dyDescent="0.25">
      <c r="K834" s="146"/>
      <c r="L834" s="146"/>
    </row>
    <row r="835" spans="11:12" ht="15.75" customHeight="1" x14ac:dyDescent="0.25">
      <c r="K835" s="146"/>
      <c r="L835" s="146"/>
    </row>
    <row r="836" spans="11:12" ht="15.75" customHeight="1" x14ac:dyDescent="0.25">
      <c r="K836" s="146"/>
      <c r="L836" s="146"/>
    </row>
    <row r="837" spans="11:12" ht="15.75" customHeight="1" x14ac:dyDescent="0.25">
      <c r="K837" s="146"/>
      <c r="L837" s="146"/>
    </row>
    <row r="838" spans="11:12" ht="15.75" customHeight="1" x14ac:dyDescent="0.25">
      <c r="K838" s="146"/>
      <c r="L838" s="146"/>
    </row>
    <row r="839" spans="11:12" ht="15.75" customHeight="1" x14ac:dyDescent="0.25">
      <c r="K839" s="146"/>
      <c r="L839" s="146"/>
    </row>
    <row r="840" spans="11:12" ht="15.75" customHeight="1" x14ac:dyDescent="0.25">
      <c r="K840" s="146"/>
      <c r="L840" s="146"/>
    </row>
    <row r="841" spans="11:12" ht="15.75" customHeight="1" x14ac:dyDescent="0.25">
      <c r="K841" s="146"/>
      <c r="L841" s="146"/>
    </row>
    <row r="842" spans="11:12" ht="15.75" customHeight="1" x14ac:dyDescent="0.25">
      <c r="K842" s="146"/>
      <c r="L842" s="146"/>
    </row>
    <row r="843" spans="11:12" ht="15.75" customHeight="1" x14ac:dyDescent="0.25">
      <c r="K843" s="146"/>
      <c r="L843" s="146"/>
    </row>
    <row r="844" spans="11:12" ht="15.75" customHeight="1" x14ac:dyDescent="0.25">
      <c r="K844" s="146"/>
      <c r="L844" s="146"/>
    </row>
    <row r="845" spans="11:12" ht="15.75" customHeight="1" x14ac:dyDescent="0.25">
      <c r="K845" s="146"/>
      <c r="L845" s="146"/>
    </row>
    <row r="846" spans="11:12" ht="15.75" customHeight="1" x14ac:dyDescent="0.25">
      <c r="K846" s="146"/>
      <c r="L846" s="146"/>
    </row>
    <row r="847" spans="11:12" ht="15.75" customHeight="1" x14ac:dyDescent="0.25">
      <c r="K847" s="146"/>
      <c r="L847" s="146"/>
    </row>
    <row r="848" spans="11:12" ht="15.75" customHeight="1" x14ac:dyDescent="0.25">
      <c r="K848" s="146"/>
      <c r="L848" s="146"/>
    </row>
    <row r="849" spans="11:12" ht="15.75" customHeight="1" x14ac:dyDescent="0.25">
      <c r="K849" s="146"/>
      <c r="L849" s="146"/>
    </row>
    <row r="850" spans="11:12" ht="15.75" customHeight="1" x14ac:dyDescent="0.25">
      <c r="K850" s="146"/>
      <c r="L850" s="146"/>
    </row>
    <row r="851" spans="11:12" ht="15.75" customHeight="1" x14ac:dyDescent="0.25">
      <c r="K851" s="146"/>
      <c r="L851" s="146"/>
    </row>
    <row r="852" spans="11:12" ht="15.75" customHeight="1" x14ac:dyDescent="0.25">
      <c r="K852" s="146"/>
      <c r="L852" s="146"/>
    </row>
    <row r="853" spans="11:12" ht="15.75" customHeight="1" x14ac:dyDescent="0.25">
      <c r="K853" s="146"/>
      <c r="L853" s="146"/>
    </row>
    <row r="854" spans="11:12" ht="15.75" customHeight="1" x14ac:dyDescent="0.25">
      <c r="K854" s="146"/>
      <c r="L854" s="146"/>
    </row>
    <row r="855" spans="11:12" ht="15.75" customHeight="1" x14ac:dyDescent="0.25">
      <c r="K855" s="146"/>
      <c r="L855" s="146"/>
    </row>
    <row r="856" spans="11:12" ht="15.75" customHeight="1" x14ac:dyDescent="0.25">
      <c r="K856" s="146"/>
      <c r="L856" s="146"/>
    </row>
    <row r="857" spans="11:12" ht="15.75" customHeight="1" x14ac:dyDescent="0.25">
      <c r="K857" s="146"/>
      <c r="L857" s="146"/>
    </row>
    <row r="858" spans="11:12" ht="15.75" customHeight="1" x14ac:dyDescent="0.25">
      <c r="K858" s="146"/>
      <c r="L858" s="146"/>
    </row>
    <row r="859" spans="11:12" ht="15.75" customHeight="1" x14ac:dyDescent="0.25">
      <c r="K859" s="146"/>
      <c r="L859" s="146"/>
    </row>
    <row r="860" spans="11:12" ht="15.75" customHeight="1" x14ac:dyDescent="0.25">
      <c r="K860" s="146"/>
      <c r="L860" s="146"/>
    </row>
    <row r="861" spans="11:12" ht="15.75" customHeight="1" x14ac:dyDescent="0.25">
      <c r="K861" s="146"/>
      <c r="L861" s="146"/>
    </row>
    <row r="862" spans="11:12" ht="15.75" customHeight="1" x14ac:dyDescent="0.25">
      <c r="K862" s="146"/>
      <c r="L862" s="146"/>
    </row>
    <row r="863" spans="11:12" ht="15.75" customHeight="1" x14ac:dyDescent="0.25">
      <c r="K863" s="146"/>
      <c r="L863" s="146"/>
    </row>
    <row r="864" spans="11:12" ht="15.75" customHeight="1" x14ac:dyDescent="0.25">
      <c r="K864" s="146"/>
      <c r="L864" s="146"/>
    </row>
    <row r="865" spans="11:12" ht="15.75" customHeight="1" x14ac:dyDescent="0.25">
      <c r="K865" s="146"/>
      <c r="L865" s="146"/>
    </row>
    <row r="866" spans="11:12" ht="15.75" customHeight="1" x14ac:dyDescent="0.25">
      <c r="K866" s="146"/>
      <c r="L866" s="146"/>
    </row>
    <row r="867" spans="11:12" ht="15.75" customHeight="1" x14ac:dyDescent="0.25">
      <c r="K867" s="146"/>
      <c r="L867" s="146"/>
    </row>
    <row r="868" spans="11:12" ht="15.75" customHeight="1" x14ac:dyDescent="0.25">
      <c r="K868" s="146"/>
      <c r="L868" s="146"/>
    </row>
    <row r="869" spans="11:12" ht="15.75" customHeight="1" x14ac:dyDescent="0.25">
      <c r="K869" s="146"/>
      <c r="L869" s="146"/>
    </row>
    <row r="870" spans="11:12" ht="15.75" customHeight="1" x14ac:dyDescent="0.25">
      <c r="K870" s="146"/>
      <c r="L870" s="146"/>
    </row>
    <row r="871" spans="11:12" ht="15.75" customHeight="1" x14ac:dyDescent="0.25">
      <c r="K871" s="146"/>
      <c r="L871" s="146"/>
    </row>
    <row r="872" spans="11:12" ht="15.75" customHeight="1" x14ac:dyDescent="0.25">
      <c r="K872" s="146"/>
      <c r="L872" s="146"/>
    </row>
    <row r="873" spans="11:12" ht="15.75" customHeight="1" x14ac:dyDescent="0.25">
      <c r="K873" s="146"/>
      <c r="L873" s="146"/>
    </row>
    <row r="874" spans="11:12" ht="15.75" customHeight="1" x14ac:dyDescent="0.25">
      <c r="K874" s="146"/>
      <c r="L874" s="146"/>
    </row>
    <row r="875" spans="11:12" ht="15.75" customHeight="1" x14ac:dyDescent="0.25">
      <c r="K875" s="146"/>
      <c r="L875" s="146"/>
    </row>
    <row r="876" spans="11:12" ht="15.75" customHeight="1" x14ac:dyDescent="0.25">
      <c r="K876" s="146"/>
      <c r="L876" s="146"/>
    </row>
    <row r="877" spans="11:12" ht="15.75" customHeight="1" x14ac:dyDescent="0.25">
      <c r="K877" s="146"/>
      <c r="L877" s="146"/>
    </row>
    <row r="878" spans="11:12" ht="15.75" customHeight="1" x14ac:dyDescent="0.25">
      <c r="K878" s="146"/>
      <c r="L878" s="146"/>
    </row>
    <row r="879" spans="11:12" ht="15.75" customHeight="1" x14ac:dyDescent="0.25">
      <c r="K879" s="146"/>
      <c r="L879" s="146"/>
    </row>
    <row r="880" spans="11:12" ht="15.75" customHeight="1" x14ac:dyDescent="0.25">
      <c r="K880" s="146"/>
      <c r="L880" s="146"/>
    </row>
    <row r="881" spans="11:12" ht="15.75" customHeight="1" x14ac:dyDescent="0.25">
      <c r="K881" s="146"/>
      <c r="L881" s="146"/>
    </row>
    <row r="882" spans="11:12" ht="15.75" customHeight="1" x14ac:dyDescent="0.25">
      <c r="K882" s="146"/>
      <c r="L882" s="146"/>
    </row>
    <row r="883" spans="11:12" ht="15.75" customHeight="1" x14ac:dyDescent="0.25">
      <c r="K883" s="146"/>
      <c r="L883" s="146"/>
    </row>
    <row r="884" spans="11:12" ht="15.75" customHeight="1" x14ac:dyDescent="0.25">
      <c r="K884" s="146"/>
      <c r="L884" s="146"/>
    </row>
    <row r="885" spans="11:12" ht="15.75" customHeight="1" x14ac:dyDescent="0.25">
      <c r="K885" s="146"/>
      <c r="L885" s="146"/>
    </row>
    <row r="886" spans="11:12" ht="15.75" customHeight="1" x14ac:dyDescent="0.25">
      <c r="K886" s="146"/>
      <c r="L886" s="146"/>
    </row>
    <row r="887" spans="11:12" ht="15.75" customHeight="1" x14ac:dyDescent="0.25">
      <c r="K887" s="146"/>
      <c r="L887" s="146"/>
    </row>
    <row r="888" spans="11:12" ht="15.75" customHeight="1" x14ac:dyDescent="0.25">
      <c r="K888" s="146"/>
      <c r="L888" s="146"/>
    </row>
    <row r="889" spans="11:12" ht="15.75" customHeight="1" x14ac:dyDescent="0.25">
      <c r="K889" s="146"/>
      <c r="L889" s="146"/>
    </row>
    <row r="890" spans="11:12" ht="15.75" customHeight="1" x14ac:dyDescent="0.25">
      <c r="K890" s="146"/>
      <c r="L890" s="146"/>
    </row>
    <row r="891" spans="11:12" ht="15.75" customHeight="1" x14ac:dyDescent="0.25">
      <c r="K891" s="146"/>
      <c r="L891" s="146"/>
    </row>
    <row r="892" spans="11:12" ht="15.75" customHeight="1" x14ac:dyDescent="0.25">
      <c r="K892" s="146"/>
      <c r="L892" s="146"/>
    </row>
    <row r="893" spans="11:12" ht="15.75" customHeight="1" x14ac:dyDescent="0.25">
      <c r="K893" s="146"/>
      <c r="L893" s="146"/>
    </row>
    <row r="894" spans="11:12" ht="15.75" customHeight="1" x14ac:dyDescent="0.25">
      <c r="K894" s="146"/>
      <c r="L894" s="146"/>
    </row>
    <row r="895" spans="11:12" ht="15.75" customHeight="1" x14ac:dyDescent="0.25">
      <c r="K895" s="146"/>
      <c r="L895" s="146"/>
    </row>
    <row r="896" spans="11:12" ht="15.75" customHeight="1" x14ac:dyDescent="0.25">
      <c r="K896" s="146"/>
      <c r="L896" s="146"/>
    </row>
    <row r="897" spans="11:12" ht="15.75" customHeight="1" x14ac:dyDescent="0.25">
      <c r="K897" s="146"/>
      <c r="L897" s="146"/>
    </row>
    <row r="898" spans="11:12" ht="15.75" customHeight="1" x14ac:dyDescent="0.25">
      <c r="K898" s="146"/>
      <c r="L898" s="146"/>
    </row>
    <row r="899" spans="11:12" ht="15.75" customHeight="1" x14ac:dyDescent="0.25">
      <c r="K899" s="146"/>
      <c r="L899" s="146"/>
    </row>
    <row r="900" spans="11:12" ht="15.75" customHeight="1" x14ac:dyDescent="0.25">
      <c r="K900" s="146"/>
      <c r="L900" s="146"/>
    </row>
    <row r="901" spans="11:12" ht="15.75" customHeight="1" x14ac:dyDescent="0.25">
      <c r="K901" s="146"/>
      <c r="L901" s="146"/>
    </row>
    <row r="902" spans="11:12" ht="15.75" customHeight="1" x14ac:dyDescent="0.25">
      <c r="K902" s="146"/>
      <c r="L902" s="146"/>
    </row>
    <row r="903" spans="11:12" ht="15.75" customHeight="1" x14ac:dyDescent="0.25">
      <c r="K903" s="146"/>
      <c r="L903" s="146"/>
    </row>
    <row r="904" spans="11:12" ht="15.75" customHeight="1" x14ac:dyDescent="0.25">
      <c r="K904" s="146"/>
      <c r="L904" s="146"/>
    </row>
    <row r="905" spans="11:12" ht="15.75" customHeight="1" x14ac:dyDescent="0.25">
      <c r="K905" s="146"/>
      <c r="L905" s="146"/>
    </row>
    <row r="906" spans="11:12" ht="15.75" customHeight="1" x14ac:dyDescent="0.25">
      <c r="K906" s="146"/>
      <c r="L906" s="146"/>
    </row>
    <row r="907" spans="11:12" ht="15.75" customHeight="1" x14ac:dyDescent="0.25">
      <c r="K907" s="146"/>
      <c r="L907" s="146"/>
    </row>
    <row r="908" spans="11:12" ht="15.75" customHeight="1" x14ac:dyDescent="0.25">
      <c r="K908" s="146"/>
      <c r="L908" s="146"/>
    </row>
    <row r="909" spans="11:12" ht="15.75" customHeight="1" x14ac:dyDescent="0.25">
      <c r="K909" s="146"/>
      <c r="L909" s="146"/>
    </row>
    <row r="910" spans="11:12" ht="15.75" customHeight="1" x14ac:dyDescent="0.25">
      <c r="K910" s="146"/>
      <c r="L910" s="146"/>
    </row>
    <row r="911" spans="11:12" ht="15.75" customHeight="1" x14ac:dyDescent="0.25">
      <c r="K911" s="146"/>
      <c r="L911" s="146"/>
    </row>
    <row r="912" spans="11:12" ht="15.75" customHeight="1" x14ac:dyDescent="0.25">
      <c r="K912" s="146"/>
      <c r="L912" s="146"/>
    </row>
    <row r="913" spans="11:12" ht="15.75" customHeight="1" x14ac:dyDescent="0.25">
      <c r="K913" s="146"/>
      <c r="L913" s="146"/>
    </row>
    <row r="914" spans="11:12" ht="15.75" customHeight="1" x14ac:dyDescent="0.25">
      <c r="K914" s="146"/>
      <c r="L914" s="146"/>
    </row>
    <row r="915" spans="11:12" ht="15.75" customHeight="1" x14ac:dyDescent="0.25">
      <c r="K915" s="146"/>
      <c r="L915" s="146"/>
    </row>
    <row r="916" spans="11:12" ht="15.75" customHeight="1" x14ac:dyDescent="0.25">
      <c r="K916" s="146"/>
      <c r="L916" s="146"/>
    </row>
    <row r="917" spans="11:12" ht="15.75" customHeight="1" x14ac:dyDescent="0.25">
      <c r="K917" s="146"/>
      <c r="L917" s="146"/>
    </row>
    <row r="918" spans="11:12" ht="15.75" customHeight="1" x14ac:dyDescent="0.25">
      <c r="K918" s="146"/>
      <c r="L918" s="146"/>
    </row>
    <row r="919" spans="11:12" ht="15.75" customHeight="1" x14ac:dyDescent="0.25">
      <c r="K919" s="146"/>
      <c r="L919" s="146"/>
    </row>
    <row r="920" spans="11:12" ht="15.75" customHeight="1" x14ac:dyDescent="0.25">
      <c r="K920" s="146"/>
      <c r="L920" s="146"/>
    </row>
    <row r="921" spans="11:12" ht="15.75" customHeight="1" x14ac:dyDescent="0.25">
      <c r="K921" s="146"/>
      <c r="L921" s="146"/>
    </row>
    <row r="922" spans="11:12" ht="15.75" customHeight="1" x14ac:dyDescent="0.25">
      <c r="K922" s="146"/>
      <c r="L922" s="146"/>
    </row>
    <row r="923" spans="11:12" ht="15.75" customHeight="1" x14ac:dyDescent="0.25">
      <c r="K923" s="146"/>
      <c r="L923" s="146"/>
    </row>
    <row r="924" spans="11:12" ht="15.75" customHeight="1" x14ac:dyDescent="0.25">
      <c r="K924" s="146"/>
      <c r="L924" s="146"/>
    </row>
    <row r="925" spans="11:12" ht="15.75" customHeight="1" x14ac:dyDescent="0.25">
      <c r="K925" s="146"/>
      <c r="L925" s="146"/>
    </row>
    <row r="926" spans="11:12" ht="15.75" customHeight="1" x14ac:dyDescent="0.25">
      <c r="K926" s="146"/>
      <c r="L926" s="146"/>
    </row>
    <row r="927" spans="11:12" ht="15.75" customHeight="1" x14ac:dyDescent="0.25">
      <c r="K927" s="146"/>
      <c r="L927" s="146"/>
    </row>
    <row r="928" spans="11:12" ht="15.75" customHeight="1" x14ac:dyDescent="0.25">
      <c r="K928" s="146"/>
      <c r="L928" s="146"/>
    </row>
    <row r="929" spans="11:12" ht="15.75" customHeight="1" x14ac:dyDescent="0.25">
      <c r="K929" s="146"/>
      <c r="L929" s="146"/>
    </row>
    <row r="930" spans="11:12" ht="15.75" customHeight="1" x14ac:dyDescent="0.25">
      <c r="K930" s="146"/>
      <c r="L930" s="146"/>
    </row>
    <row r="931" spans="11:12" ht="15.75" customHeight="1" x14ac:dyDescent="0.25">
      <c r="K931" s="146"/>
      <c r="L931" s="146"/>
    </row>
    <row r="932" spans="11:12" ht="15.75" customHeight="1" x14ac:dyDescent="0.25">
      <c r="K932" s="146"/>
      <c r="L932" s="146"/>
    </row>
    <row r="933" spans="11:12" ht="15.75" customHeight="1" x14ac:dyDescent="0.25">
      <c r="K933" s="146"/>
      <c r="L933" s="146"/>
    </row>
    <row r="934" spans="11:12" ht="15.75" customHeight="1" x14ac:dyDescent="0.25">
      <c r="K934" s="146"/>
      <c r="L934" s="146"/>
    </row>
    <row r="935" spans="11:12" ht="15.75" customHeight="1" x14ac:dyDescent="0.25">
      <c r="K935" s="146"/>
      <c r="L935" s="146"/>
    </row>
    <row r="936" spans="11:12" ht="15.75" customHeight="1" x14ac:dyDescent="0.25">
      <c r="K936" s="146"/>
      <c r="L936" s="146"/>
    </row>
    <row r="937" spans="11:12" ht="15.75" customHeight="1" x14ac:dyDescent="0.25">
      <c r="K937" s="146"/>
      <c r="L937" s="146"/>
    </row>
    <row r="938" spans="11:12" ht="15.75" customHeight="1" x14ac:dyDescent="0.25">
      <c r="K938" s="146"/>
      <c r="L938" s="146"/>
    </row>
    <row r="939" spans="11:12" ht="15.75" customHeight="1" x14ac:dyDescent="0.25">
      <c r="K939" s="146"/>
      <c r="L939" s="146"/>
    </row>
    <row r="940" spans="11:12" ht="15.75" customHeight="1" x14ac:dyDescent="0.25">
      <c r="K940" s="146"/>
      <c r="L940" s="146"/>
    </row>
    <row r="941" spans="11:12" ht="15.75" customHeight="1" x14ac:dyDescent="0.25">
      <c r="K941" s="146"/>
      <c r="L941" s="146"/>
    </row>
    <row r="942" spans="11:12" ht="15.75" customHeight="1" x14ac:dyDescent="0.25">
      <c r="K942" s="146"/>
      <c r="L942" s="146"/>
    </row>
    <row r="943" spans="11:12" ht="15.75" customHeight="1" x14ac:dyDescent="0.25">
      <c r="K943" s="146"/>
      <c r="L943" s="146"/>
    </row>
    <row r="944" spans="11:12" ht="15.75" customHeight="1" x14ac:dyDescent="0.25">
      <c r="K944" s="146"/>
      <c r="L944" s="146"/>
    </row>
    <row r="945" spans="11:12" ht="15.75" customHeight="1" x14ac:dyDescent="0.25">
      <c r="K945" s="146"/>
      <c r="L945" s="146"/>
    </row>
    <row r="946" spans="11:12" ht="15.75" customHeight="1" x14ac:dyDescent="0.25">
      <c r="K946" s="146"/>
      <c r="L946" s="146"/>
    </row>
    <row r="947" spans="11:12" ht="15.75" customHeight="1" x14ac:dyDescent="0.25">
      <c r="K947" s="146"/>
      <c r="L947" s="146"/>
    </row>
    <row r="948" spans="11:12" ht="15.75" customHeight="1" x14ac:dyDescent="0.25">
      <c r="K948" s="146"/>
      <c r="L948" s="146"/>
    </row>
    <row r="949" spans="11:12" ht="15.75" customHeight="1" x14ac:dyDescent="0.25">
      <c r="K949" s="146"/>
      <c r="L949" s="146"/>
    </row>
    <row r="950" spans="11:12" ht="15.75" customHeight="1" x14ac:dyDescent="0.25">
      <c r="K950" s="146"/>
      <c r="L950" s="146"/>
    </row>
    <row r="951" spans="11:12" ht="15.75" customHeight="1" x14ac:dyDescent="0.25">
      <c r="K951" s="146"/>
      <c r="L951" s="146"/>
    </row>
    <row r="952" spans="11:12" ht="15.75" customHeight="1" x14ac:dyDescent="0.25">
      <c r="K952" s="146"/>
      <c r="L952" s="146"/>
    </row>
    <row r="953" spans="11:12" ht="15.75" customHeight="1" x14ac:dyDescent="0.25">
      <c r="K953" s="146"/>
      <c r="L953" s="146"/>
    </row>
    <row r="954" spans="11:12" ht="15.75" customHeight="1" x14ac:dyDescent="0.25">
      <c r="K954" s="146"/>
      <c r="L954" s="146"/>
    </row>
    <row r="955" spans="11:12" ht="15.75" customHeight="1" x14ac:dyDescent="0.25">
      <c r="K955" s="146"/>
      <c r="L955" s="146"/>
    </row>
    <row r="956" spans="11:12" ht="15.75" customHeight="1" x14ac:dyDescent="0.25">
      <c r="K956" s="146"/>
      <c r="L956" s="146"/>
    </row>
    <row r="957" spans="11:12" ht="15.75" customHeight="1" x14ac:dyDescent="0.25">
      <c r="K957" s="146"/>
      <c r="L957" s="146"/>
    </row>
    <row r="958" spans="11:12" ht="15.75" customHeight="1" x14ac:dyDescent="0.25">
      <c r="K958" s="146"/>
      <c r="L958" s="146"/>
    </row>
    <row r="959" spans="11:12" ht="15.75" customHeight="1" x14ac:dyDescent="0.25">
      <c r="K959" s="146"/>
      <c r="L959" s="146"/>
    </row>
    <row r="960" spans="11:12" ht="15.75" customHeight="1" x14ac:dyDescent="0.25">
      <c r="K960" s="146"/>
      <c r="L960" s="146"/>
    </row>
    <row r="961" spans="11:12" ht="15.75" customHeight="1" x14ac:dyDescent="0.25">
      <c r="K961" s="146"/>
      <c r="L961" s="146"/>
    </row>
    <row r="962" spans="11:12" ht="15.75" customHeight="1" x14ac:dyDescent="0.25">
      <c r="K962" s="146"/>
      <c r="L962" s="146"/>
    </row>
    <row r="963" spans="11:12" ht="15.75" customHeight="1" x14ac:dyDescent="0.25">
      <c r="K963" s="146"/>
      <c r="L963" s="146"/>
    </row>
    <row r="964" spans="11:12" ht="15.75" customHeight="1" x14ac:dyDescent="0.25">
      <c r="K964" s="146"/>
      <c r="L964" s="146"/>
    </row>
    <row r="965" spans="11:12" ht="15.75" customHeight="1" x14ac:dyDescent="0.25">
      <c r="K965" s="146"/>
      <c r="L965" s="146"/>
    </row>
    <row r="966" spans="11:12" ht="15.75" customHeight="1" x14ac:dyDescent="0.25">
      <c r="K966" s="146"/>
      <c r="L966" s="146"/>
    </row>
    <row r="967" spans="11:12" ht="15.75" customHeight="1" x14ac:dyDescent="0.25">
      <c r="K967" s="146"/>
      <c r="L967" s="146"/>
    </row>
    <row r="968" spans="11:12" ht="15.75" customHeight="1" x14ac:dyDescent="0.25">
      <c r="K968" s="146"/>
      <c r="L968" s="146"/>
    </row>
    <row r="969" spans="11:12" ht="15.75" customHeight="1" x14ac:dyDescent="0.25">
      <c r="K969" s="146"/>
      <c r="L969" s="146"/>
    </row>
    <row r="970" spans="11:12" ht="15.75" customHeight="1" x14ac:dyDescent="0.25">
      <c r="K970" s="146"/>
      <c r="L970" s="146"/>
    </row>
    <row r="971" spans="11:12" ht="15.75" customHeight="1" x14ac:dyDescent="0.25">
      <c r="K971" s="146"/>
      <c r="L971" s="146"/>
    </row>
    <row r="972" spans="11:12" ht="15.75" customHeight="1" x14ac:dyDescent="0.25">
      <c r="K972" s="146"/>
      <c r="L972" s="146"/>
    </row>
    <row r="973" spans="11:12" ht="15.75" customHeight="1" x14ac:dyDescent="0.25">
      <c r="K973" s="146"/>
      <c r="L973" s="146"/>
    </row>
    <row r="974" spans="11:12" ht="15.75" customHeight="1" x14ac:dyDescent="0.25">
      <c r="K974" s="146"/>
      <c r="L974" s="146"/>
    </row>
    <row r="975" spans="11:12" ht="15.75" customHeight="1" x14ac:dyDescent="0.25">
      <c r="K975" s="146"/>
      <c r="L975" s="146"/>
    </row>
    <row r="976" spans="11:12" ht="15.75" customHeight="1" x14ac:dyDescent="0.25">
      <c r="K976" s="146"/>
      <c r="L976" s="146"/>
    </row>
    <row r="977" spans="11:12" ht="15.75" customHeight="1" x14ac:dyDescent="0.25">
      <c r="K977" s="146"/>
      <c r="L977" s="146"/>
    </row>
    <row r="978" spans="11:12" ht="15.75" customHeight="1" x14ac:dyDescent="0.25">
      <c r="K978" s="146"/>
      <c r="L978" s="146"/>
    </row>
    <row r="979" spans="11:12" ht="15.75" customHeight="1" x14ac:dyDescent="0.25">
      <c r="K979" s="146"/>
      <c r="L979" s="146"/>
    </row>
    <row r="980" spans="11:12" ht="15.75" customHeight="1" x14ac:dyDescent="0.25">
      <c r="K980" s="146"/>
      <c r="L980" s="146"/>
    </row>
    <row r="981" spans="11:12" ht="15.75" customHeight="1" x14ac:dyDescent="0.25">
      <c r="K981" s="146"/>
      <c r="L981" s="146"/>
    </row>
    <row r="982" spans="11:12" ht="15.75" customHeight="1" x14ac:dyDescent="0.25">
      <c r="K982" s="146"/>
      <c r="L982" s="146"/>
    </row>
    <row r="983" spans="11:12" ht="15.75" customHeight="1" x14ac:dyDescent="0.25">
      <c r="K983" s="146"/>
      <c r="L983" s="146"/>
    </row>
    <row r="984" spans="11:12" ht="15.75" customHeight="1" x14ac:dyDescent="0.25">
      <c r="K984" s="146"/>
      <c r="L984" s="146"/>
    </row>
    <row r="985" spans="11:12" ht="15.75" customHeight="1" x14ac:dyDescent="0.25">
      <c r="K985" s="146"/>
      <c r="L985" s="146"/>
    </row>
    <row r="986" spans="11:12" ht="15.75" customHeight="1" x14ac:dyDescent="0.25">
      <c r="K986" s="146"/>
      <c r="L986" s="146"/>
    </row>
    <row r="987" spans="11:12" ht="15.75" customHeight="1" x14ac:dyDescent="0.25">
      <c r="K987" s="146"/>
      <c r="L987" s="146"/>
    </row>
    <row r="988" spans="11:12" ht="15.75" customHeight="1" x14ac:dyDescent="0.25">
      <c r="K988" s="146"/>
      <c r="L988" s="146"/>
    </row>
    <row r="989" spans="11:12" ht="15.75" customHeight="1" x14ac:dyDescent="0.25">
      <c r="K989" s="146"/>
      <c r="L989" s="146"/>
    </row>
    <row r="990" spans="11:12" ht="15.75" customHeight="1" x14ac:dyDescent="0.25">
      <c r="K990" s="146"/>
      <c r="L990" s="146"/>
    </row>
    <row r="991" spans="11:12" ht="15.75" customHeight="1" x14ac:dyDescent="0.25">
      <c r="K991" s="146"/>
      <c r="L991" s="146"/>
    </row>
    <row r="992" spans="11:12" ht="15.75" customHeight="1" x14ac:dyDescent="0.25">
      <c r="K992" s="146"/>
      <c r="L992" s="146"/>
    </row>
    <row r="993" spans="11:12" ht="15.75" customHeight="1" x14ac:dyDescent="0.25">
      <c r="K993" s="146"/>
      <c r="L993" s="146"/>
    </row>
    <row r="994" spans="11:12" ht="15.75" customHeight="1" x14ac:dyDescent="0.25">
      <c r="K994" s="146"/>
      <c r="L994" s="146"/>
    </row>
    <row r="995" spans="11:12" ht="15.75" customHeight="1" x14ac:dyDescent="0.25">
      <c r="K995" s="146"/>
      <c r="L995" s="146"/>
    </row>
    <row r="996" spans="11:12" ht="15.75" customHeight="1" x14ac:dyDescent="0.25">
      <c r="K996" s="146"/>
      <c r="L996" s="146"/>
    </row>
    <row r="997" spans="11:12" ht="15.75" customHeight="1" x14ac:dyDescent="0.25">
      <c r="K997" s="146"/>
      <c r="L997" s="146"/>
    </row>
    <row r="998" spans="11:12" ht="15.75" customHeight="1" x14ac:dyDescent="0.25">
      <c r="K998" s="146"/>
      <c r="L998" s="146"/>
    </row>
    <row r="999" spans="11:12" ht="15.75" customHeight="1" x14ac:dyDescent="0.25">
      <c r="K999" s="146"/>
      <c r="L999" s="146"/>
    </row>
    <row r="1000" spans="11:12" ht="15.75" customHeight="1" x14ac:dyDescent="0.25">
      <c r="K1000" s="146"/>
      <c r="L1000" s="146"/>
    </row>
  </sheetData>
  <dataValidations count="2">
    <dataValidation type="list" allowBlank="1" sqref="F2:F31" xr:uid="{00000000-0002-0000-0000-000000000000}">
      <formula1>"Guru,kepala sekolah,Kepala Sekolah,Tenaga pendidik,Pegawai Pemerintah,Tenaga Kependidikan"</formula1>
    </dataValidation>
    <dataValidation type="list" allowBlank="1" showDropDown="1" showErrorMessage="1" sqref="C2:C31" xr:uid="{00000000-0002-0000-0000-000001000000}">
      <formula1>"Laki-laki,Perempuan"</formula1>
    </dataValidation>
  </dataValidations>
  <hyperlinks>
    <hyperlink ref="B4" r:id="rId1" xr:uid="{00000000-0004-0000-0000-000000000000}"/>
    <hyperlink ref="B18" r:id="rId2" xr:uid="{00000000-0004-0000-0000-000001000000}"/>
    <hyperlink ref="B20" r:id="rId3" xr:uid="{00000000-0004-0000-0000-000002000000}"/>
  </hyperlinks>
  <pageMargins left="0.7" right="0.7" top="0.75" bottom="0.75" header="0" footer="0"/>
  <pageSetup orientation="landscape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>
      <pane ySplit="1" topLeftCell="A5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2.6640625" customWidth="1"/>
    <col min="2" max="2" width="25.6640625" customWidth="1"/>
    <col min="3" max="3" width="14.109375" customWidth="1"/>
    <col min="4" max="4" width="29.88671875" customWidth="1"/>
    <col min="5" max="5" width="31.6640625" customWidth="1"/>
    <col min="6" max="6" width="24.44140625" customWidth="1"/>
    <col min="7" max="7" width="20.77734375" customWidth="1"/>
    <col min="8" max="8" width="20.88671875" customWidth="1"/>
    <col min="9" max="9" width="17.88671875" customWidth="1"/>
  </cols>
  <sheetData>
    <row r="1" spans="1:8" ht="22.5" customHeight="1" x14ac:dyDescent="0.25">
      <c r="A1" s="1" t="s">
        <v>0</v>
      </c>
      <c r="B1" s="3" t="s">
        <v>2</v>
      </c>
      <c r="C1" s="1" t="s">
        <v>3</v>
      </c>
      <c r="D1" s="3" t="s">
        <v>4</v>
      </c>
      <c r="E1" s="1" t="s">
        <v>6</v>
      </c>
      <c r="F1" s="1" t="s">
        <v>10</v>
      </c>
      <c r="G1" s="5" t="s">
        <v>13</v>
      </c>
      <c r="H1" s="6" t="s">
        <v>16</v>
      </c>
    </row>
    <row r="2" spans="1:8" ht="22.5" customHeight="1" x14ac:dyDescent="0.25">
      <c r="A2" s="13">
        <v>1</v>
      </c>
      <c r="B2" s="14" t="s">
        <v>19</v>
      </c>
      <c r="C2" s="14" t="s">
        <v>20</v>
      </c>
      <c r="D2" s="14" t="s">
        <v>22</v>
      </c>
      <c r="E2" s="14" t="s">
        <v>24</v>
      </c>
      <c r="F2" s="22" t="s">
        <v>26</v>
      </c>
      <c r="G2" s="26" t="s">
        <v>28</v>
      </c>
      <c r="H2" s="28" t="s">
        <v>32</v>
      </c>
    </row>
    <row r="3" spans="1:8" ht="22.5" customHeight="1" x14ac:dyDescent="0.25">
      <c r="A3" s="38">
        <v>2</v>
      </c>
      <c r="B3" s="40" t="s">
        <v>42</v>
      </c>
      <c r="C3" s="40" t="s">
        <v>44</v>
      </c>
      <c r="D3" s="40" t="s">
        <v>48</v>
      </c>
      <c r="E3" s="40" t="s">
        <v>49</v>
      </c>
      <c r="F3" s="47" t="s">
        <v>52</v>
      </c>
      <c r="G3" s="26" t="s">
        <v>54</v>
      </c>
      <c r="H3" s="52" t="s">
        <v>57</v>
      </c>
    </row>
    <row r="4" spans="1:8" ht="22.5" customHeight="1" x14ac:dyDescent="0.25">
      <c r="A4" s="13">
        <v>3</v>
      </c>
      <c r="B4" s="14" t="s">
        <v>63</v>
      </c>
      <c r="C4" s="14" t="s">
        <v>44</v>
      </c>
      <c r="D4" s="14" t="s">
        <v>66</v>
      </c>
      <c r="E4" s="14" t="s">
        <v>69</v>
      </c>
      <c r="F4" s="22" t="s">
        <v>71</v>
      </c>
      <c r="G4" s="26" t="s">
        <v>74</v>
      </c>
      <c r="H4" s="28" t="s">
        <v>77</v>
      </c>
    </row>
    <row r="5" spans="1:8" ht="22.5" customHeight="1" x14ac:dyDescent="0.25">
      <c r="A5" s="38">
        <v>4</v>
      </c>
      <c r="B5" s="40" t="s">
        <v>85</v>
      </c>
      <c r="C5" s="40" t="s">
        <v>44</v>
      </c>
      <c r="D5" s="40" t="s">
        <v>90</v>
      </c>
      <c r="E5" s="64" t="s">
        <v>93</v>
      </c>
      <c r="F5" s="47" t="s">
        <v>97</v>
      </c>
      <c r="G5" s="65" t="s">
        <v>98</v>
      </c>
      <c r="H5" s="66" t="s">
        <v>101</v>
      </c>
    </row>
    <row r="6" spans="1:8" ht="22.5" customHeight="1" x14ac:dyDescent="0.25">
      <c r="A6" s="13">
        <v>5</v>
      </c>
      <c r="B6" s="14" t="s">
        <v>108</v>
      </c>
      <c r="C6" s="14" t="s">
        <v>20</v>
      </c>
      <c r="D6" s="14" t="s">
        <v>110</v>
      </c>
      <c r="E6" s="14" t="s">
        <v>112</v>
      </c>
      <c r="F6" s="22" t="s">
        <v>115</v>
      </c>
      <c r="G6" s="68" t="s">
        <v>116</v>
      </c>
      <c r="H6" s="70" t="s">
        <v>119</v>
      </c>
    </row>
    <row r="7" spans="1:8" ht="22.5" customHeight="1" x14ac:dyDescent="0.25">
      <c r="A7" s="38">
        <v>6</v>
      </c>
      <c r="B7" s="40" t="s">
        <v>127</v>
      </c>
      <c r="C7" s="40" t="s">
        <v>20</v>
      </c>
      <c r="D7" s="40" t="s">
        <v>130</v>
      </c>
      <c r="E7" s="40" t="s">
        <v>132</v>
      </c>
      <c r="F7" s="47" t="s">
        <v>134</v>
      </c>
      <c r="G7" s="65" t="s">
        <v>136</v>
      </c>
      <c r="H7" s="66" t="s">
        <v>138</v>
      </c>
    </row>
    <row r="8" spans="1:8" ht="22.5" customHeight="1" x14ac:dyDescent="0.25">
      <c r="A8" s="13">
        <v>7</v>
      </c>
      <c r="B8" s="14" t="s">
        <v>144</v>
      </c>
      <c r="C8" s="14" t="s">
        <v>20</v>
      </c>
      <c r="D8" s="14" t="s">
        <v>148</v>
      </c>
      <c r="E8" s="14" t="s">
        <v>150</v>
      </c>
      <c r="F8" s="22" t="s">
        <v>153</v>
      </c>
      <c r="G8" s="68" t="s">
        <v>154</v>
      </c>
      <c r="H8" s="70" t="s">
        <v>156</v>
      </c>
    </row>
    <row r="9" spans="1:8" ht="22.5" customHeight="1" x14ac:dyDescent="0.25">
      <c r="A9" s="38">
        <v>8</v>
      </c>
      <c r="B9" s="40" t="s">
        <v>161</v>
      </c>
      <c r="C9" s="40" t="s">
        <v>20</v>
      </c>
      <c r="D9" s="40" t="s">
        <v>165</v>
      </c>
      <c r="E9" s="40" t="s">
        <v>167</v>
      </c>
      <c r="F9" s="47" t="s">
        <v>170</v>
      </c>
      <c r="G9" s="65" t="s">
        <v>171</v>
      </c>
      <c r="H9" s="66" t="s">
        <v>175</v>
      </c>
    </row>
    <row r="10" spans="1:8" ht="22.5" customHeight="1" x14ac:dyDescent="0.25">
      <c r="A10" s="13">
        <v>9</v>
      </c>
      <c r="B10" s="82" t="s">
        <v>185</v>
      </c>
      <c r="C10" s="82" t="s">
        <v>44</v>
      </c>
      <c r="D10" s="82" t="s">
        <v>188</v>
      </c>
      <c r="E10" s="82" t="s">
        <v>190</v>
      </c>
      <c r="F10" s="84" t="s">
        <v>193</v>
      </c>
      <c r="G10" s="68" t="s">
        <v>195</v>
      </c>
      <c r="H10" s="70" t="s">
        <v>198</v>
      </c>
    </row>
    <row r="11" spans="1:8" ht="22.5" customHeight="1" x14ac:dyDescent="0.25">
      <c r="A11" s="38">
        <v>10</v>
      </c>
      <c r="B11" s="40" t="s">
        <v>204</v>
      </c>
      <c r="C11" s="40" t="s">
        <v>20</v>
      </c>
      <c r="D11" s="40" t="s">
        <v>207</v>
      </c>
      <c r="E11" s="40" t="s">
        <v>209</v>
      </c>
      <c r="F11" s="47" t="s">
        <v>211</v>
      </c>
      <c r="G11" s="65" t="s">
        <v>214</v>
      </c>
      <c r="H11" s="66" t="s">
        <v>215</v>
      </c>
    </row>
    <row r="12" spans="1:8" ht="22.5" customHeight="1" x14ac:dyDescent="0.25">
      <c r="A12" s="13">
        <v>11</v>
      </c>
      <c r="B12" s="14" t="s">
        <v>221</v>
      </c>
      <c r="C12" s="14" t="s">
        <v>44</v>
      </c>
      <c r="D12" s="14" t="s">
        <v>228</v>
      </c>
      <c r="E12" s="14" t="s">
        <v>231</v>
      </c>
      <c r="F12" s="22" t="s">
        <v>233</v>
      </c>
      <c r="G12" s="68" t="s">
        <v>154</v>
      </c>
      <c r="H12" s="70" t="s">
        <v>156</v>
      </c>
    </row>
    <row r="13" spans="1:8" ht="22.5" customHeight="1" x14ac:dyDescent="0.25">
      <c r="A13" s="38">
        <v>12</v>
      </c>
      <c r="B13" s="40" t="s">
        <v>238</v>
      </c>
      <c r="C13" s="40" t="s">
        <v>20</v>
      </c>
      <c r="D13" s="40" t="s">
        <v>241</v>
      </c>
      <c r="E13" s="40" t="s">
        <v>244</v>
      </c>
      <c r="F13" s="47" t="s">
        <v>248</v>
      </c>
      <c r="G13" s="65" t="s">
        <v>250</v>
      </c>
      <c r="H13" s="66" t="s">
        <v>252</v>
      </c>
    </row>
    <row r="14" spans="1:8" ht="22.5" customHeight="1" x14ac:dyDescent="0.25">
      <c r="A14" s="13">
        <v>13</v>
      </c>
      <c r="B14" s="14" t="s">
        <v>256</v>
      </c>
      <c r="C14" s="14" t="s">
        <v>44</v>
      </c>
      <c r="D14" s="14" t="s">
        <v>261</v>
      </c>
      <c r="E14" s="14" t="s">
        <v>262</v>
      </c>
      <c r="F14" s="22" t="s">
        <v>265</v>
      </c>
      <c r="G14" s="68" t="s">
        <v>267</v>
      </c>
      <c r="H14" s="70" t="s">
        <v>271</v>
      </c>
    </row>
    <row r="15" spans="1:8" ht="22.5" customHeight="1" x14ac:dyDescent="0.25">
      <c r="A15" s="38">
        <v>14</v>
      </c>
      <c r="B15" s="40" t="s">
        <v>277</v>
      </c>
      <c r="C15" s="40" t="s">
        <v>20</v>
      </c>
      <c r="D15" s="40" t="s">
        <v>278</v>
      </c>
      <c r="E15" s="40" t="s">
        <v>280</v>
      </c>
      <c r="F15" s="47" t="s">
        <v>282</v>
      </c>
      <c r="G15" s="65" t="s">
        <v>286</v>
      </c>
      <c r="H15" s="66" t="s">
        <v>289</v>
      </c>
    </row>
    <row r="16" spans="1:8" ht="22.5" customHeight="1" x14ac:dyDescent="0.25">
      <c r="A16" s="13">
        <v>15</v>
      </c>
      <c r="B16" s="14" t="s">
        <v>300</v>
      </c>
      <c r="C16" s="14" t="s">
        <v>44</v>
      </c>
      <c r="D16" s="14" t="s">
        <v>304</v>
      </c>
      <c r="E16" s="14" t="s">
        <v>306</v>
      </c>
      <c r="F16" s="22" t="s">
        <v>312</v>
      </c>
      <c r="G16" s="68" t="s">
        <v>314</v>
      </c>
      <c r="H16" s="70" t="s">
        <v>318</v>
      </c>
    </row>
    <row r="17" spans="1:8" ht="22.5" customHeight="1" x14ac:dyDescent="0.25">
      <c r="A17" s="38">
        <v>16</v>
      </c>
      <c r="B17" s="40" t="s">
        <v>324</v>
      </c>
      <c r="C17" s="40" t="s">
        <v>44</v>
      </c>
      <c r="D17" s="40" t="s">
        <v>329</v>
      </c>
      <c r="E17" s="40" t="s">
        <v>331</v>
      </c>
      <c r="F17" s="47" t="s">
        <v>334</v>
      </c>
      <c r="G17" s="65" t="s">
        <v>336</v>
      </c>
      <c r="H17" s="66" t="s">
        <v>338</v>
      </c>
    </row>
    <row r="18" spans="1:8" ht="22.5" customHeight="1" x14ac:dyDescent="0.25">
      <c r="A18" s="13">
        <v>17</v>
      </c>
      <c r="B18" s="14" t="s">
        <v>345</v>
      </c>
      <c r="C18" s="14" t="s">
        <v>44</v>
      </c>
      <c r="D18" s="14" t="s">
        <v>351</v>
      </c>
      <c r="E18" s="14" t="s">
        <v>353</v>
      </c>
      <c r="F18" s="22" t="s">
        <v>355</v>
      </c>
      <c r="G18" s="68" t="s">
        <v>356</v>
      </c>
      <c r="H18" s="70" t="s">
        <v>359</v>
      </c>
    </row>
    <row r="19" spans="1:8" ht="22.5" customHeight="1" x14ac:dyDescent="0.25">
      <c r="A19" s="38">
        <v>18</v>
      </c>
      <c r="B19" s="40" t="s">
        <v>363</v>
      </c>
      <c r="C19" s="40" t="s">
        <v>20</v>
      </c>
      <c r="D19" s="40" t="s">
        <v>370</v>
      </c>
      <c r="E19" s="40" t="s">
        <v>372</v>
      </c>
      <c r="F19" s="47" t="s">
        <v>375</v>
      </c>
      <c r="G19" s="65" t="s">
        <v>378</v>
      </c>
      <c r="H19" s="66" t="s">
        <v>382</v>
      </c>
    </row>
    <row r="20" spans="1:8" ht="22.5" customHeight="1" x14ac:dyDescent="0.25">
      <c r="A20" s="13">
        <v>19</v>
      </c>
      <c r="B20" s="14" t="s">
        <v>387</v>
      </c>
      <c r="C20" s="14" t="s">
        <v>20</v>
      </c>
      <c r="D20" s="14" t="s">
        <v>390</v>
      </c>
      <c r="E20" s="14" t="s">
        <v>392</v>
      </c>
      <c r="F20" s="22" t="s">
        <v>395</v>
      </c>
      <c r="G20" s="68" t="s">
        <v>398</v>
      </c>
      <c r="H20" s="70" t="s">
        <v>401</v>
      </c>
    </row>
    <row r="21" spans="1:8" ht="22.5" customHeight="1" x14ac:dyDescent="0.25">
      <c r="A21" s="38">
        <v>20</v>
      </c>
      <c r="B21" s="40" t="s">
        <v>407</v>
      </c>
      <c r="C21" s="40" t="s">
        <v>20</v>
      </c>
      <c r="D21" s="40" t="s">
        <v>411</v>
      </c>
      <c r="E21" s="40" t="s">
        <v>414</v>
      </c>
      <c r="F21" s="47" t="s">
        <v>419</v>
      </c>
      <c r="G21" s="65" t="s">
        <v>422</v>
      </c>
      <c r="H21" s="66" t="s">
        <v>423</v>
      </c>
    </row>
    <row r="22" spans="1:8" ht="22.5" customHeight="1" x14ac:dyDescent="0.25">
      <c r="A22" s="13">
        <v>21</v>
      </c>
      <c r="B22" s="14" t="s">
        <v>429</v>
      </c>
      <c r="C22" s="14" t="s">
        <v>44</v>
      </c>
      <c r="D22" s="14" t="s">
        <v>432</v>
      </c>
      <c r="E22" s="14" t="s">
        <v>437</v>
      </c>
      <c r="F22" s="22" t="s">
        <v>441</v>
      </c>
      <c r="G22" s="68" t="s">
        <v>443</v>
      </c>
      <c r="H22" s="70" t="s">
        <v>446</v>
      </c>
    </row>
    <row r="23" spans="1:8" ht="22.5" customHeight="1" x14ac:dyDescent="0.25">
      <c r="A23" s="38">
        <v>22</v>
      </c>
      <c r="B23" s="40" t="s">
        <v>453</v>
      </c>
      <c r="C23" s="40" t="s">
        <v>20</v>
      </c>
      <c r="D23" s="40" t="s">
        <v>457</v>
      </c>
      <c r="E23" s="40" t="s">
        <v>461</v>
      </c>
      <c r="F23" s="47" t="s">
        <v>463</v>
      </c>
      <c r="G23" s="65" t="s">
        <v>465</v>
      </c>
      <c r="H23" s="66" t="s">
        <v>468</v>
      </c>
    </row>
    <row r="24" spans="1:8" ht="22.5" customHeight="1" x14ac:dyDescent="0.25">
      <c r="A24" s="13">
        <v>23</v>
      </c>
      <c r="B24" s="14" t="s">
        <v>473</v>
      </c>
      <c r="C24" s="14" t="s">
        <v>20</v>
      </c>
      <c r="D24" s="14" t="s">
        <v>477</v>
      </c>
      <c r="E24" s="14" t="s">
        <v>479</v>
      </c>
      <c r="F24" s="22" t="s">
        <v>483</v>
      </c>
      <c r="G24" s="65" t="s">
        <v>465</v>
      </c>
      <c r="H24" s="70" t="s">
        <v>468</v>
      </c>
    </row>
    <row r="25" spans="1:8" ht="22.5" customHeight="1" x14ac:dyDescent="0.25">
      <c r="A25" s="38">
        <v>24</v>
      </c>
      <c r="B25" s="40" t="s">
        <v>490</v>
      </c>
      <c r="C25" s="40" t="s">
        <v>20</v>
      </c>
      <c r="D25" s="40" t="s">
        <v>492</v>
      </c>
      <c r="E25" s="40" t="s">
        <v>494</v>
      </c>
      <c r="F25" s="47" t="s">
        <v>497</v>
      </c>
      <c r="G25" s="65" t="s">
        <v>499</v>
      </c>
      <c r="H25" s="66" t="s">
        <v>501</v>
      </c>
    </row>
    <row r="26" spans="1:8" ht="22.5" customHeight="1" x14ac:dyDescent="0.25">
      <c r="A26" s="13">
        <v>25</v>
      </c>
      <c r="B26" s="14" t="s">
        <v>506</v>
      </c>
      <c r="C26" s="14" t="s">
        <v>20</v>
      </c>
      <c r="D26" s="14" t="s">
        <v>509</v>
      </c>
      <c r="E26" s="14" t="s">
        <v>511</v>
      </c>
      <c r="F26" s="22" t="s">
        <v>513</v>
      </c>
      <c r="G26" s="68" t="s">
        <v>515</v>
      </c>
      <c r="H26" s="70" t="s">
        <v>517</v>
      </c>
    </row>
    <row r="27" spans="1:8" ht="22.5" customHeight="1" x14ac:dyDescent="0.25">
      <c r="A27" s="38">
        <v>26</v>
      </c>
      <c r="B27" s="40" t="s">
        <v>520</v>
      </c>
      <c r="C27" s="40" t="s">
        <v>44</v>
      </c>
      <c r="D27" s="40" t="s">
        <v>524</v>
      </c>
      <c r="E27" s="40" t="s">
        <v>527</v>
      </c>
      <c r="F27" s="47" t="s">
        <v>528</v>
      </c>
      <c r="G27" s="65" t="s">
        <v>529</v>
      </c>
      <c r="H27" s="66" t="s">
        <v>530</v>
      </c>
    </row>
    <row r="28" spans="1:8" ht="22.5" customHeight="1" x14ac:dyDescent="0.25">
      <c r="A28" s="13">
        <v>27</v>
      </c>
      <c r="B28" s="14" t="s">
        <v>532</v>
      </c>
      <c r="C28" s="14" t="s">
        <v>20</v>
      </c>
      <c r="D28" s="14" t="s">
        <v>535</v>
      </c>
      <c r="E28" s="14" t="s">
        <v>537</v>
      </c>
      <c r="F28" s="22" t="s">
        <v>540</v>
      </c>
      <c r="G28" s="68" t="s">
        <v>543</v>
      </c>
      <c r="H28" s="70" t="s">
        <v>545</v>
      </c>
    </row>
    <row r="29" spans="1:8" ht="22.5" customHeight="1" x14ac:dyDescent="0.25">
      <c r="A29" s="38">
        <v>28</v>
      </c>
      <c r="B29" s="40" t="s">
        <v>550</v>
      </c>
      <c r="C29" s="40" t="s">
        <v>20</v>
      </c>
      <c r="D29" s="40" t="s">
        <v>554</v>
      </c>
      <c r="E29" s="64" t="s">
        <v>556</v>
      </c>
      <c r="F29" s="47" t="s">
        <v>557</v>
      </c>
      <c r="G29" s="65" t="s">
        <v>561</v>
      </c>
      <c r="H29" s="66" t="s">
        <v>563</v>
      </c>
    </row>
    <row r="30" spans="1:8" ht="22.5" customHeight="1" x14ac:dyDescent="0.25">
      <c r="A30" s="98">
        <v>29</v>
      </c>
      <c r="B30" s="99" t="s">
        <v>569</v>
      </c>
      <c r="C30" s="99" t="s">
        <v>20</v>
      </c>
      <c r="D30" s="99" t="s">
        <v>576</v>
      </c>
      <c r="E30" s="99" t="s">
        <v>579</v>
      </c>
      <c r="F30" s="100" t="s">
        <v>582</v>
      </c>
      <c r="G30" s="68" t="s">
        <v>586</v>
      </c>
      <c r="H30" s="101" t="s">
        <v>588</v>
      </c>
    </row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3">
    <dataValidation type="list" allowBlank="1" sqref="C2:C30" xr:uid="{00000000-0002-0000-0100-000000000000}">
      <formula1>"Laki-laki,Perempuan"</formula1>
    </dataValidation>
    <dataValidation allowBlank="1" showDropDown="1" sqref="G2:H30" xr:uid="{00000000-0002-0000-0100-000001000000}"/>
    <dataValidation type="custom" allowBlank="1" showDropDown="1" sqref="A2:A30 F2:F30" xr:uid="{00000000-0002-0000-0100-000002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1000"/>
  <sheetViews>
    <sheetView workbookViewId="0">
      <pane ySplit="1" topLeftCell="A27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2.6640625" customWidth="1"/>
    <col min="2" max="2" width="23.33203125" customWidth="1"/>
    <col min="3" max="3" width="15.109375" customWidth="1"/>
    <col min="4" max="4" width="25.6640625" customWidth="1"/>
    <col min="5" max="5" width="22.109375" customWidth="1"/>
    <col min="6" max="6" width="22.44140625" customWidth="1"/>
    <col min="7" max="7" width="19" customWidth="1"/>
    <col min="8" max="8" width="21.6640625" customWidth="1"/>
    <col min="9" max="9" width="19" customWidth="1"/>
  </cols>
  <sheetData>
    <row r="1" spans="1:30" ht="22.5" customHeight="1" x14ac:dyDescent="0.25">
      <c r="A1" s="1" t="s">
        <v>0</v>
      </c>
      <c r="B1" s="3" t="s">
        <v>2</v>
      </c>
      <c r="C1" s="1" t="s">
        <v>3</v>
      </c>
      <c r="D1" s="3" t="s">
        <v>4</v>
      </c>
      <c r="E1" s="1" t="s">
        <v>6</v>
      </c>
      <c r="F1" s="1" t="s">
        <v>10</v>
      </c>
      <c r="G1" s="6" t="s">
        <v>13</v>
      </c>
      <c r="H1" s="5" t="s">
        <v>16</v>
      </c>
      <c r="I1" s="11"/>
      <c r="J1" s="11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ht="22.5" customHeight="1" x14ac:dyDescent="0.25">
      <c r="A2" s="18">
        <v>1</v>
      </c>
      <c r="B2" s="20" t="s">
        <v>25</v>
      </c>
      <c r="C2" s="24" t="s">
        <v>20</v>
      </c>
      <c r="D2" s="20" t="s">
        <v>30</v>
      </c>
      <c r="E2" s="30"/>
      <c r="F2" s="18"/>
      <c r="G2" s="18" t="s">
        <v>36</v>
      </c>
      <c r="H2" s="18" t="s">
        <v>39</v>
      </c>
      <c r="I2" s="3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ht="22.5" customHeight="1" x14ac:dyDescent="0.25">
      <c r="A3" s="18">
        <v>2</v>
      </c>
      <c r="B3" s="20" t="s">
        <v>51</v>
      </c>
      <c r="C3" s="24" t="s">
        <v>20</v>
      </c>
      <c r="D3" s="20" t="s">
        <v>55</v>
      </c>
      <c r="E3" s="30"/>
      <c r="F3" s="30"/>
      <c r="G3" s="18" t="s">
        <v>59</v>
      </c>
      <c r="H3" s="18" t="s">
        <v>62</v>
      </c>
      <c r="I3" s="56"/>
    </row>
    <row r="4" spans="1:30" ht="22.5" customHeight="1" x14ac:dyDescent="0.25">
      <c r="A4" s="18">
        <v>3</v>
      </c>
      <c r="B4" s="20" t="s">
        <v>67</v>
      </c>
      <c r="C4" s="24" t="s">
        <v>20</v>
      </c>
      <c r="D4" s="20" t="s">
        <v>72</v>
      </c>
      <c r="E4" s="30"/>
      <c r="F4" s="30"/>
      <c r="G4" s="18" t="s">
        <v>81</v>
      </c>
      <c r="H4" s="18" t="s">
        <v>82</v>
      </c>
      <c r="I4" s="56"/>
    </row>
    <row r="5" spans="1:30" ht="22.5" customHeight="1" x14ac:dyDescent="0.25">
      <c r="A5" s="18">
        <v>4</v>
      </c>
      <c r="B5" s="20" t="s">
        <v>91</v>
      </c>
      <c r="C5" s="24" t="s">
        <v>20</v>
      </c>
      <c r="D5" s="20" t="s">
        <v>96</v>
      </c>
      <c r="E5" s="30"/>
      <c r="F5" s="30"/>
      <c r="G5" s="18" t="s">
        <v>103</v>
      </c>
      <c r="H5" s="18" t="s">
        <v>105</v>
      </c>
      <c r="I5" s="56"/>
      <c r="N5" s="8"/>
      <c r="O5" s="8"/>
      <c r="P5" s="8"/>
    </row>
    <row r="6" spans="1:30" ht="22.5" customHeight="1" x14ac:dyDescent="0.25">
      <c r="A6" s="18">
        <v>5</v>
      </c>
      <c r="B6" s="20" t="s">
        <v>111</v>
      </c>
      <c r="C6" s="24" t="s">
        <v>20</v>
      </c>
      <c r="D6" s="20" t="s">
        <v>118</v>
      </c>
      <c r="E6" s="30"/>
      <c r="F6" s="30"/>
      <c r="G6" s="18" t="s">
        <v>123</v>
      </c>
      <c r="H6" s="18" t="s">
        <v>126</v>
      </c>
      <c r="I6" s="56"/>
    </row>
    <row r="7" spans="1:30" ht="22.5" customHeight="1" x14ac:dyDescent="0.25">
      <c r="A7" s="18">
        <v>6</v>
      </c>
      <c r="B7" s="20" t="s">
        <v>131</v>
      </c>
      <c r="C7" s="24" t="s">
        <v>20</v>
      </c>
      <c r="D7" s="20" t="s">
        <v>135</v>
      </c>
      <c r="E7" s="30"/>
      <c r="F7" s="30"/>
      <c r="G7" s="18" t="s">
        <v>140</v>
      </c>
      <c r="H7" s="18" t="s">
        <v>143</v>
      </c>
      <c r="I7" s="76"/>
      <c r="J7" s="77"/>
      <c r="K7" s="72"/>
      <c r="L7" s="72"/>
      <c r="M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</row>
    <row r="8" spans="1:30" ht="22.5" customHeight="1" x14ac:dyDescent="0.25">
      <c r="A8" s="18">
        <v>7</v>
      </c>
      <c r="B8" s="20" t="s">
        <v>160</v>
      </c>
      <c r="C8" s="24" t="s">
        <v>44</v>
      </c>
      <c r="D8" s="20" t="s">
        <v>164</v>
      </c>
      <c r="E8" s="30"/>
      <c r="F8" s="30"/>
      <c r="G8" s="18" t="s">
        <v>169</v>
      </c>
      <c r="H8" s="18" t="s">
        <v>172</v>
      </c>
      <c r="I8" s="76"/>
      <c r="J8" s="79"/>
      <c r="K8" s="78"/>
      <c r="L8" s="78"/>
      <c r="M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</row>
    <row r="9" spans="1:30" ht="22.5" customHeight="1" x14ac:dyDescent="0.25">
      <c r="A9" s="18">
        <v>8</v>
      </c>
      <c r="B9" s="20" t="s">
        <v>183</v>
      </c>
      <c r="C9" s="24" t="s">
        <v>44</v>
      </c>
      <c r="D9" s="20" t="s">
        <v>186</v>
      </c>
      <c r="E9" s="30"/>
      <c r="F9" s="30"/>
      <c r="G9" s="18" t="s">
        <v>189</v>
      </c>
      <c r="H9" s="18" t="s">
        <v>191</v>
      </c>
      <c r="I9" s="76"/>
      <c r="J9" s="77"/>
      <c r="K9" s="72"/>
      <c r="L9" s="72"/>
      <c r="M9" s="63"/>
      <c r="N9" s="77"/>
      <c r="O9" s="72"/>
      <c r="P9" s="72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</row>
    <row r="10" spans="1:30" ht="22.5" customHeight="1" x14ac:dyDescent="0.25">
      <c r="A10" s="18">
        <v>9</v>
      </c>
      <c r="B10" s="20" t="s">
        <v>200</v>
      </c>
      <c r="C10" s="24" t="s">
        <v>20</v>
      </c>
      <c r="D10" s="20" t="s">
        <v>205</v>
      </c>
      <c r="E10" s="30"/>
      <c r="F10" s="30"/>
      <c r="G10" s="18" t="s">
        <v>208</v>
      </c>
      <c r="H10" s="18" t="s">
        <v>210</v>
      </c>
      <c r="I10" s="76"/>
      <c r="J10" s="79"/>
      <c r="K10" s="78"/>
      <c r="L10" s="78"/>
      <c r="M10" s="63"/>
      <c r="N10" s="79"/>
      <c r="O10" s="78"/>
      <c r="P10" s="78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</row>
    <row r="11" spans="1:30" ht="22.5" customHeight="1" x14ac:dyDescent="0.25">
      <c r="A11" s="18">
        <v>10</v>
      </c>
      <c r="B11" s="20" t="s">
        <v>220</v>
      </c>
      <c r="C11" s="24" t="s">
        <v>20</v>
      </c>
      <c r="D11" s="20" t="s">
        <v>225</v>
      </c>
      <c r="E11" s="30"/>
      <c r="F11" s="30"/>
      <c r="G11" s="88" t="s">
        <v>232</v>
      </c>
      <c r="H11" s="88" t="s">
        <v>234</v>
      </c>
      <c r="I11" s="76"/>
      <c r="J11" s="79"/>
      <c r="K11" s="78"/>
      <c r="L11" s="78"/>
      <c r="M11" s="63"/>
      <c r="N11" s="77"/>
      <c r="O11" s="72"/>
      <c r="P11" s="72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</row>
    <row r="12" spans="1:30" ht="22.5" customHeight="1" x14ac:dyDescent="0.25">
      <c r="A12" s="18">
        <v>11</v>
      </c>
      <c r="B12" s="20" t="s">
        <v>237</v>
      </c>
      <c r="C12" s="24" t="s">
        <v>20</v>
      </c>
      <c r="D12" s="20" t="s">
        <v>239</v>
      </c>
      <c r="E12" s="30"/>
      <c r="F12" s="30"/>
      <c r="G12" s="88" t="s">
        <v>243</v>
      </c>
      <c r="H12" s="88" t="s">
        <v>246</v>
      </c>
      <c r="I12" s="76"/>
      <c r="J12" s="79" t="s">
        <v>227</v>
      </c>
      <c r="K12" s="78"/>
      <c r="L12" s="78"/>
      <c r="M12" s="63"/>
      <c r="N12" s="79"/>
      <c r="O12" s="78"/>
      <c r="P12" s="78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</row>
    <row r="13" spans="1:30" ht="22.5" customHeight="1" x14ac:dyDescent="0.25">
      <c r="A13" s="18">
        <v>12</v>
      </c>
      <c r="B13" s="20" t="s">
        <v>258</v>
      </c>
      <c r="C13" s="24" t="s">
        <v>20</v>
      </c>
      <c r="D13" s="20" t="s">
        <v>264</v>
      </c>
      <c r="E13" s="30"/>
      <c r="F13" s="30"/>
      <c r="G13" s="88" t="s">
        <v>268</v>
      </c>
      <c r="H13" s="88" t="s">
        <v>272</v>
      </c>
      <c r="I13" s="76"/>
      <c r="J13" s="79"/>
      <c r="K13" s="78"/>
      <c r="L13" s="78"/>
      <c r="M13" s="63"/>
      <c r="N13" s="79"/>
      <c r="O13" s="78"/>
      <c r="P13" s="78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</row>
    <row r="14" spans="1:30" ht="22.5" customHeight="1" x14ac:dyDescent="0.25">
      <c r="A14" s="18">
        <v>13</v>
      </c>
      <c r="B14" s="20" t="s">
        <v>279</v>
      </c>
      <c r="C14" s="24" t="s">
        <v>44</v>
      </c>
      <c r="D14" s="20" t="s">
        <v>285</v>
      </c>
      <c r="E14" s="30"/>
      <c r="F14" s="30"/>
      <c r="G14" s="88" t="s">
        <v>293</v>
      </c>
      <c r="H14" s="88" t="s">
        <v>294</v>
      </c>
      <c r="I14" s="76"/>
      <c r="J14" s="79"/>
      <c r="K14" s="78"/>
      <c r="L14" s="78"/>
      <c r="M14" s="63"/>
      <c r="N14" s="79"/>
      <c r="O14" s="78"/>
      <c r="P14" s="78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</row>
    <row r="15" spans="1:30" ht="22.5" customHeight="1" x14ac:dyDescent="0.25">
      <c r="A15" s="18">
        <v>14</v>
      </c>
      <c r="B15" s="20" t="s">
        <v>299</v>
      </c>
      <c r="C15" s="24" t="s">
        <v>20</v>
      </c>
      <c r="D15" s="20" t="s">
        <v>302</v>
      </c>
      <c r="E15" s="30"/>
      <c r="F15" s="30"/>
      <c r="G15" s="88" t="s">
        <v>305</v>
      </c>
      <c r="H15" s="88" t="s">
        <v>309</v>
      </c>
      <c r="I15" s="76"/>
      <c r="J15" s="79"/>
      <c r="K15" s="78"/>
      <c r="L15" s="78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</row>
    <row r="16" spans="1:30" ht="22.5" customHeight="1" x14ac:dyDescent="0.25">
      <c r="A16" s="18">
        <v>15</v>
      </c>
      <c r="B16" s="20" t="s">
        <v>321</v>
      </c>
      <c r="C16" s="24" t="s">
        <v>20</v>
      </c>
      <c r="D16" s="20" t="s">
        <v>323</v>
      </c>
      <c r="E16" s="30"/>
      <c r="F16" s="30"/>
      <c r="G16" s="88" t="s">
        <v>326</v>
      </c>
      <c r="H16" s="88" t="s">
        <v>328</v>
      </c>
      <c r="I16" s="76"/>
      <c r="J16" s="79"/>
      <c r="K16" s="78"/>
      <c r="L16" s="78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</row>
    <row r="17" spans="1:30" ht="22.5" customHeight="1" x14ac:dyDescent="0.25">
      <c r="A17" s="18">
        <v>16</v>
      </c>
      <c r="B17" s="20" t="s">
        <v>341</v>
      </c>
      <c r="C17" s="24" t="s">
        <v>20</v>
      </c>
      <c r="D17" s="20" t="s">
        <v>344</v>
      </c>
      <c r="E17" s="30"/>
      <c r="F17" s="30"/>
      <c r="G17" s="88" t="s">
        <v>350</v>
      </c>
      <c r="H17" s="88" t="s">
        <v>352</v>
      </c>
      <c r="I17" s="76"/>
      <c r="J17" s="79"/>
      <c r="K17" s="78"/>
      <c r="L17" s="78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</row>
    <row r="18" spans="1:30" ht="22.5" customHeight="1" x14ac:dyDescent="0.25">
      <c r="A18" s="18">
        <v>17</v>
      </c>
      <c r="B18" s="20" t="s">
        <v>360</v>
      </c>
      <c r="C18" s="24" t="s">
        <v>20</v>
      </c>
      <c r="D18" s="20" t="s">
        <v>362</v>
      </c>
      <c r="E18" s="30"/>
      <c r="F18" s="30"/>
      <c r="G18" s="88" t="s">
        <v>364</v>
      </c>
      <c r="H18" s="88" t="s">
        <v>366</v>
      </c>
      <c r="I18" s="76"/>
      <c r="J18" s="79"/>
      <c r="K18" s="78"/>
      <c r="L18" s="78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</row>
    <row r="19" spans="1:30" ht="22.5" customHeight="1" x14ac:dyDescent="0.25">
      <c r="A19" s="18">
        <v>18</v>
      </c>
      <c r="B19" s="20" t="s">
        <v>374</v>
      </c>
      <c r="C19" s="24" t="s">
        <v>44</v>
      </c>
      <c r="D19" s="20" t="s">
        <v>379</v>
      </c>
      <c r="E19" s="30"/>
      <c r="F19" s="30"/>
      <c r="G19" s="88" t="s">
        <v>383</v>
      </c>
      <c r="H19" s="88" t="s">
        <v>384</v>
      </c>
      <c r="I19" s="76"/>
      <c r="J19" s="79"/>
      <c r="K19" s="78"/>
      <c r="L19" s="78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</row>
    <row r="20" spans="1:30" ht="22.5" customHeight="1" x14ac:dyDescent="0.25">
      <c r="A20" s="18">
        <v>19</v>
      </c>
      <c r="B20" s="20" t="s">
        <v>394</v>
      </c>
      <c r="C20" s="24" t="s">
        <v>20</v>
      </c>
      <c r="D20" s="20" t="s">
        <v>400</v>
      </c>
      <c r="E20" s="30"/>
      <c r="F20" s="30"/>
      <c r="G20" s="88" t="s">
        <v>402</v>
      </c>
      <c r="H20" s="88" t="s">
        <v>404</v>
      </c>
      <c r="I20" s="76"/>
      <c r="J20" s="79"/>
      <c r="K20" s="78"/>
      <c r="L20" s="78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</row>
    <row r="21" spans="1:30" ht="22.5" customHeight="1" x14ac:dyDescent="0.25">
      <c r="A21" s="18">
        <v>20</v>
      </c>
      <c r="B21" s="20" t="s">
        <v>416</v>
      </c>
      <c r="C21" s="24" t="s">
        <v>44</v>
      </c>
      <c r="D21" s="20" t="s">
        <v>421</v>
      </c>
      <c r="E21" s="30"/>
      <c r="F21" s="30"/>
      <c r="G21" s="88" t="s">
        <v>425</v>
      </c>
      <c r="H21" s="88" t="s">
        <v>426</v>
      </c>
      <c r="I21" s="76"/>
      <c r="J21" s="79"/>
      <c r="K21" s="78"/>
      <c r="L21" s="78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</row>
    <row r="22" spans="1:30" ht="22.5" customHeight="1" x14ac:dyDescent="0.25">
      <c r="A22" s="18">
        <v>21</v>
      </c>
      <c r="B22" s="20" t="s">
        <v>434</v>
      </c>
      <c r="C22" s="24" t="s">
        <v>20</v>
      </c>
      <c r="D22" s="20" t="s">
        <v>439</v>
      </c>
      <c r="E22" s="30"/>
      <c r="F22" s="30"/>
      <c r="G22" s="88" t="s">
        <v>444</v>
      </c>
      <c r="H22" s="88" t="s">
        <v>447</v>
      </c>
      <c r="I22" s="76"/>
      <c r="J22" s="79"/>
      <c r="K22" s="78"/>
      <c r="L22" s="78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</row>
    <row r="23" spans="1:30" ht="22.5" customHeight="1" x14ac:dyDescent="0.25">
      <c r="A23" s="18">
        <v>22</v>
      </c>
      <c r="B23" s="20" t="s">
        <v>455</v>
      </c>
      <c r="C23" s="24" t="s">
        <v>20</v>
      </c>
      <c r="D23" s="20" t="s">
        <v>459</v>
      </c>
      <c r="E23" s="30"/>
      <c r="F23" s="30"/>
      <c r="G23" s="88" t="s">
        <v>464</v>
      </c>
      <c r="H23" s="88" t="s">
        <v>466</v>
      </c>
      <c r="I23" s="76"/>
      <c r="J23" s="79"/>
      <c r="K23" s="78"/>
      <c r="L23" s="78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</row>
    <row r="24" spans="1:30" ht="22.5" customHeight="1" x14ac:dyDescent="0.25">
      <c r="A24" s="18">
        <v>23</v>
      </c>
      <c r="B24" s="20" t="s">
        <v>474</v>
      </c>
      <c r="C24" s="24" t="s">
        <v>20</v>
      </c>
      <c r="D24" s="20" t="s">
        <v>480</v>
      </c>
      <c r="E24" s="30"/>
      <c r="F24" s="30"/>
      <c r="G24" s="88" t="s">
        <v>487</v>
      </c>
      <c r="H24" s="88" t="s">
        <v>488</v>
      </c>
      <c r="I24" s="76"/>
      <c r="J24" s="79"/>
      <c r="K24" s="78"/>
      <c r="L24" s="78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</row>
    <row r="25" spans="1:30" ht="22.5" customHeight="1" x14ac:dyDescent="0.25">
      <c r="A25" s="18">
        <v>24</v>
      </c>
      <c r="B25" s="20" t="s">
        <v>495</v>
      </c>
      <c r="C25" s="24" t="s">
        <v>20</v>
      </c>
      <c r="D25" s="20" t="s">
        <v>500</v>
      </c>
      <c r="E25" s="30"/>
      <c r="F25" s="30"/>
      <c r="G25" s="88" t="s">
        <v>503</v>
      </c>
      <c r="H25" s="88" t="s">
        <v>505</v>
      </c>
      <c r="I25" s="76"/>
      <c r="J25" s="77"/>
      <c r="K25" s="72"/>
      <c r="L25" s="72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</row>
    <row r="26" spans="1:30" ht="22.5" customHeight="1" x14ac:dyDescent="0.25">
      <c r="A26" s="18">
        <v>25</v>
      </c>
      <c r="B26" s="20" t="s">
        <v>516</v>
      </c>
      <c r="C26" s="24" t="s">
        <v>20</v>
      </c>
      <c r="D26" s="20" t="s">
        <v>519</v>
      </c>
      <c r="E26" s="30"/>
      <c r="F26" s="30"/>
      <c r="G26" s="88" t="s">
        <v>522</v>
      </c>
      <c r="H26" s="88" t="s">
        <v>525</v>
      </c>
      <c r="I26" s="76"/>
      <c r="J26" s="79"/>
      <c r="K26" s="78"/>
      <c r="L26" s="78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</row>
    <row r="27" spans="1:30" ht="22.5" customHeight="1" x14ac:dyDescent="0.25">
      <c r="A27" s="18">
        <v>26</v>
      </c>
      <c r="B27" s="20" t="s">
        <v>531</v>
      </c>
      <c r="C27" s="24" t="s">
        <v>20</v>
      </c>
      <c r="D27" s="20" t="s">
        <v>533</v>
      </c>
      <c r="E27" s="30"/>
      <c r="F27" s="30"/>
      <c r="G27" s="88" t="s">
        <v>539</v>
      </c>
      <c r="H27" s="88" t="s">
        <v>542</v>
      </c>
      <c r="I27" s="76"/>
      <c r="J27" s="77"/>
      <c r="K27" s="72"/>
      <c r="L27" s="72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</row>
    <row r="28" spans="1:30" ht="22.5" customHeight="1" x14ac:dyDescent="0.25">
      <c r="A28" s="18">
        <v>27</v>
      </c>
      <c r="B28" s="20" t="s">
        <v>551</v>
      </c>
      <c r="C28" s="24" t="s">
        <v>44</v>
      </c>
      <c r="D28" s="20" t="s">
        <v>555</v>
      </c>
      <c r="E28" s="30"/>
      <c r="F28" s="30"/>
      <c r="G28" s="88" t="s">
        <v>562</v>
      </c>
      <c r="H28" s="88" t="s">
        <v>564</v>
      </c>
      <c r="I28" s="76"/>
      <c r="J28" s="79"/>
      <c r="K28" s="78"/>
      <c r="L28" s="78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</row>
    <row r="29" spans="1:30" ht="22.5" customHeight="1" x14ac:dyDescent="0.25">
      <c r="A29" s="18">
        <v>28</v>
      </c>
      <c r="B29" s="20" t="s">
        <v>573</v>
      </c>
      <c r="C29" s="24" t="s">
        <v>20</v>
      </c>
      <c r="D29" s="20" t="s">
        <v>574</v>
      </c>
      <c r="E29" s="30"/>
      <c r="F29" s="30"/>
      <c r="G29" s="88" t="s">
        <v>580</v>
      </c>
      <c r="H29" s="88" t="s">
        <v>584</v>
      </c>
      <c r="I29" s="76"/>
      <c r="J29" s="77"/>
      <c r="K29" s="72"/>
      <c r="L29" s="72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</row>
    <row r="30" spans="1:30" ht="22.5" customHeight="1" x14ac:dyDescent="0.25">
      <c r="A30" s="18">
        <v>29</v>
      </c>
      <c r="B30" s="20" t="s">
        <v>594</v>
      </c>
      <c r="C30" s="24" t="s">
        <v>20</v>
      </c>
      <c r="D30" s="20" t="s">
        <v>595</v>
      </c>
      <c r="E30" s="30"/>
      <c r="F30" s="30"/>
      <c r="G30" s="88" t="s">
        <v>598</v>
      </c>
      <c r="H30" s="88" t="s">
        <v>600</v>
      </c>
      <c r="I30" s="76"/>
      <c r="J30" s="79"/>
      <c r="K30" s="78"/>
      <c r="L30" s="78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</row>
    <row r="31" spans="1:30" ht="22.5" customHeight="1" x14ac:dyDescent="0.25">
      <c r="A31" s="18">
        <v>30</v>
      </c>
      <c r="B31" s="20" t="s">
        <v>604</v>
      </c>
      <c r="C31" s="24" t="s">
        <v>20</v>
      </c>
      <c r="D31" s="20" t="s">
        <v>606</v>
      </c>
      <c r="E31" s="30"/>
      <c r="F31" s="30"/>
      <c r="G31" s="88" t="s">
        <v>611</v>
      </c>
      <c r="H31" s="88" t="s">
        <v>613</v>
      </c>
      <c r="I31" s="76"/>
      <c r="J31" s="77"/>
      <c r="K31" s="72"/>
      <c r="L31" s="72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</row>
    <row r="32" spans="1:30" ht="15.75" customHeight="1" x14ac:dyDescent="0.25">
      <c r="A32" s="105"/>
      <c r="B32" s="56"/>
      <c r="C32" s="56"/>
      <c r="D32" s="56"/>
      <c r="E32" s="56"/>
      <c r="F32" s="56"/>
      <c r="G32" s="106"/>
      <c r="H32" s="106"/>
      <c r="I32" s="107"/>
      <c r="J32" s="79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73"/>
      <c r="AD32" s="73"/>
    </row>
    <row r="33" spans="1:30" ht="15.75" customHeight="1" x14ac:dyDescent="0.25">
      <c r="A33" s="105"/>
      <c r="B33" s="56"/>
      <c r="C33" s="56"/>
      <c r="D33" s="56"/>
      <c r="E33" s="56"/>
      <c r="F33" s="56"/>
      <c r="G33" s="108"/>
      <c r="H33" s="106"/>
      <c r="I33" s="109"/>
      <c r="J33" s="77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73"/>
      <c r="AD33" s="73"/>
    </row>
    <row r="34" spans="1:30" ht="15.75" customHeight="1" x14ac:dyDescent="0.25">
      <c r="A34" s="105"/>
      <c r="B34" s="56"/>
      <c r="C34" s="56"/>
      <c r="D34" s="56"/>
      <c r="E34" s="56"/>
      <c r="F34" s="56"/>
      <c r="G34" s="106"/>
      <c r="H34" s="106"/>
      <c r="I34" s="107"/>
      <c r="J34" s="79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73"/>
      <c r="AD34" s="73"/>
    </row>
    <row r="35" spans="1:30" ht="15.75" customHeight="1" x14ac:dyDescent="0.25">
      <c r="A35" s="105"/>
      <c r="B35" s="56"/>
      <c r="C35" s="56"/>
      <c r="D35" s="56"/>
      <c r="E35" s="56"/>
      <c r="F35" s="56"/>
      <c r="G35" s="108"/>
      <c r="H35" s="106"/>
      <c r="I35" s="109"/>
      <c r="J35" s="77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73"/>
      <c r="AD35" s="73"/>
    </row>
    <row r="36" spans="1:30" ht="15.75" customHeight="1" x14ac:dyDescent="0.25">
      <c r="A36" s="105"/>
      <c r="B36" s="56"/>
      <c r="C36" s="56"/>
      <c r="D36" s="56"/>
      <c r="E36" s="56"/>
      <c r="F36" s="56"/>
      <c r="G36" s="106"/>
      <c r="H36" s="106"/>
      <c r="I36" s="107"/>
      <c r="J36" s="79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73"/>
      <c r="AD36" s="73"/>
    </row>
    <row r="37" spans="1:30" ht="15.75" customHeight="1" x14ac:dyDescent="0.25">
      <c r="A37" s="105"/>
      <c r="B37" s="56"/>
      <c r="C37" s="56"/>
      <c r="D37" s="56"/>
      <c r="E37" s="56"/>
      <c r="F37" s="56"/>
      <c r="G37" s="113"/>
      <c r="H37" s="113"/>
      <c r="I37" s="56"/>
    </row>
    <row r="38" spans="1:30" ht="15.75" customHeight="1" x14ac:dyDescent="0.25">
      <c r="A38" s="114"/>
      <c r="G38" s="115"/>
      <c r="H38" s="115"/>
    </row>
    <row r="39" spans="1:30" ht="15.75" customHeight="1" x14ac:dyDescent="0.25">
      <c r="A39" s="114"/>
      <c r="G39" s="115"/>
      <c r="H39" s="115"/>
    </row>
    <row r="40" spans="1:30" ht="15.75" customHeight="1" x14ac:dyDescent="0.25">
      <c r="A40" s="114"/>
      <c r="G40" s="115"/>
      <c r="H40" s="115"/>
    </row>
    <row r="41" spans="1:30" ht="15.75" customHeight="1" x14ac:dyDescent="0.25">
      <c r="A41" s="114"/>
      <c r="G41" s="115"/>
      <c r="H41" s="115"/>
    </row>
    <row r="42" spans="1:30" ht="15.75" customHeight="1" x14ac:dyDescent="0.25">
      <c r="A42" s="114"/>
      <c r="G42" s="115"/>
      <c r="H42" s="115"/>
    </row>
    <row r="43" spans="1:30" ht="15.75" customHeight="1" x14ac:dyDescent="0.25">
      <c r="A43" s="114"/>
      <c r="G43" s="115"/>
      <c r="H43" s="115"/>
    </row>
    <row r="44" spans="1:30" ht="15.75" customHeight="1" x14ac:dyDescent="0.25">
      <c r="A44" s="114"/>
      <c r="G44" s="115"/>
      <c r="H44" s="115"/>
    </row>
    <row r="45" spans="1:30" ht="15.75" customHeight="1" x14ac:dyDescent="0.25">
      <c r="A45" s="114"/>
      <c r="G45" s="115"/>
      <c r="H45" s="115"/>
    </row>
    <row r="46" spans="1:30" ht="15.75" customHeight="1" x14ac:dyDescent="0.25">
      <c r="A46" s="114"/>
      <c r="G46" s="115"/>
      <c r="H46" s="115"/>
    </row>
    <row r="47" spans="1:30" ht="15.75" customHeight="1" x14ac:dyDescent="0.25">
      <c r="A47" s="114"/>
      <c r="G47" s="115"/>
      <c r="H47" s="115"/>
    </row>
    <row r="48" spans="1:30" ht="15.75" customHeight="1" x14ac:dyDescent="0.25">
      <c r="A48" s="114"/>
      <c r="G48" s="115"/>
      <c r="H48" s="115"/>
    </row>
    <row r="49" spans="1:8" ht="15.75" customHeight="1" x14ac:dyDescent="0.25">
      <c r="A49" s="114"/>
      <c r="G49" s="115"/>
      <c r="H49" s="115"/>
    </row>
    <row r="50" spans="1:8" ht="15.75" customHeight="1" x14ac:dyDescent="0.25">
      <c r="A50" s="114"/>
      <c r="G50" s="115"/>
      <c r="H50" s="115"/>
    </row>
    <row r="51" spans="1:8" ht="15.75" customHeight="1" x14ac:dyDescent="0.25">
      <c r="A51" s="114"/>
      <c r="G51" s="115"/>
      <c r="H51" s="115"/>
    </row>
    <row r="52" spans="1:8" ht="15.75" customHeight="1" x14ac:dyDescent="0.25">
      <c r="A52" s="114"/>
      <c r="G52" s="115"/>
      <c r="H52" s="115"/>
    </row>
    <row r="53" spans="1:8" ht="15.75" customHeight="1" x14ac:dyDescent="0.25">
      <c r="A53" s="114"/>
      <c r="G53" s="115"/>
      <c r="H53" s="115"/>
    </row>
    <row r="54" spans="1:8" ht="15.75" customHeight="1" x14ac:dyDescent="0.25">
      <c r="A54" s="114"/>
      <c r="G54" s="115"/>
      <c r="H54" s="115"/>
    </row>
    <row r="55" spans="1:8" ht="15.75" customHeight="1" x14ac:dyDescent="0.25">
      <c r="A55" s="114"/>
      <c r="G55" s="115"/>
      <c r="H55" s="115"/>
    </row>
    <row r="56" spans="1:8" ht="15.75" customHeight="1" x14ac:dyDescent="0.25">
      <c r="A56" s="114"/>
      <c r="G56" s="115"/>
      <c r="H56" s="115"/>
    </row>
    <row r="57" spans="1:8" ht="15.75" customHeight="1" x14ac:dyDescent="0.25">
      <c r="A57" s="114"/>
      <c r="G57" s="115"/>
      <c r="H57" s="115"/>
    </row>
    <row r="58" spans="1:8" ht="15.75" customHeight="1" x14ac:dyDescent="0.25">
      <c r="A58" s="114"/>
      <c r="G58" s="115"/>
      <c r="H58" s="115"/>
    </row>
    <row r="59" spans="1:8" ht="15.75" customHeight="1" x14ac:dyDescent="0.25">
      <c r="A59" s="114"/>
      <c r="G59" s="115"/>
      <c r="H59" s="115"/>
    </row>
    <row r="60" spans="1:8" ht="15.75" customHeight="1" x14ac:dyDescent="0.25">
      <c r="A60" s="114"/>
      <c r="G60" s="115"/>
      <c r="H60" s="115"/>
    </row>
    <row r="61" spans="1:8" ht="15.75" customHeight="1" x14ac:dyDescent="0.25">
      <c r="A61" s="114"/>
      <c r="G61" s="115"/>
      <c r="H61" s="115"/>
    </row>
    <row r="62" spans="1:8" ht="15.75" customHeight="1" x14ac:dyDescent="0.25">
      <c r="A62" s="114"/>
      <c r="G62" s="115"/>
      <c r="H62" s="115"/>
    </row>
    <row r="63" spans="1:8" ht="15.75" customHeight="1" x14ac:dyDescent="0.25">
      <c r="A63" s="114"/>
      <c r="G63" s="115"/>
      <c r="H63" s="115"/>
    </row>
    <row r="64" spans="1:8" ht="15.75" customHeight="1" x14ac:dyDescent="0.25">
      <c r="A64" s="114"/>
      <c r="G64" s="115"/>
      <c r="H64" s="115"/>
    </row>
    <row r="65" spans="1:8" ht="15.75" customHeight="1" x14ac:dyDescent="0.25">
      <c r="A65" s="114"/>
      <c r="G65" s="115"/>
      <c r="H65" s="115"/>
    </row>
    <row r="66" spans="1:8" ht="15.75" customHeight="1" x14ac:dyDescent="0.25">
      <c r="A66" s="114"/>
      <c r="G66" s="115"/>
      <c r="H66" s="115"/>
    </row>
    <row r="67" spans="1:8" ht="15.75" customHeight="1" x14ac:dyDescent="0.25">
      <c r="A67" s="114"/>
      <c r="G67" s="115"/>
      <c r="H67" s="115"/>
    </row>
    <row r="68" spans="1:8" ht="15.75" customHeight="1" x14ac:dyDescent="0.25">
      <c r="A68" s="114"/>
      <c r="G68" s="115"/>
      <c r="H68" s="115"/>
    </row>
    <row r="69" spans="1:8" ht="15.75" customHeight="1" x14ac:dyDescent="0.25">
      <c r="A69" s="114"/>
      <c r="G69" s="115"/>
      <c r="H69" s="115"/>
    </row>
    <row r="70" spans="1:8" ht="15.75" customHeight="1" x14ac:dyDescent="0.25">
      <c r="A70" s="114"/>
      <c r="G70" s="115"/>
      <c r="H70" s="115"/>
    </row>
    <row r="71" spans="1:8" ht="15.75" customHeight="1" x14ac:dyDescent="0.25">
      <c r="A71" s="114"/>
      <c r="G71" s="115"/>
      <c r="H71" s="115"/>
    </row>
    <row r="72" spans="1:8" ht="15.75" customHeight="1" x14ac:dyDescent="0.25">
      <c r="A72" s="114"/>
      <c r="G72" s="115"/>
      <c r="H72" s="115"/>
    </row>
    <row r="73" spans="1:8" ht="15.75" customHeight="1" x14ac:dyDescent="0.25">
      <c r="A73" s="114"/>
      <c r="G73" s="115"/>
      <c r="H73" s="115"/>
    </row>
    <row r="74" spans="1:8" ht="15.75" customHeight="1" x14ac:dyDescent="0.25">
      <c r="A74" s="114"/>
      <c r="G74" s="115"/>
      <c r="H74" s="115"/>
    </row>
    <row r="75" spans="1:8" ht="15.75" customHeight="1" x14ac:dyDescent="0.25">
      <c r="A75" s="114"/>
      <c r="G75" s="115"/>
      <c r="H75" s="115"/>
    </row>
    <row r="76" spans="1:8" ht="15.75" customHeight="1" x14ac:dyDescent="0.25">
      <c r="A76" s="114"/>
      <c r="G76" s="115"/>
      <c r="H76" s="115"/>
    </row>
    <row r="77" spans="1:8" ht="15.75" customHeight="1" x14ac:dyDescent="0.25">
      <c r="A77" s="114"/>
      <c r="G77" s="115"/>
      <c r="H77" s="115"/>
    </row>
    <row r="78" spans="1:8" ht="15.75" customHeight="1" x14ac:dyDescent="0.25">
      <c r="A78" s="114"/>
      <c r="G78" s="115"/>
      <c r="H78" s="115"/>
    </row>
    <row r="79" spans="1:8" ht="15.75" customHeight="1" x14ac:dyDescent="0.25">
      <c r="A79" s="114"/>
      <c r="G79" s="115"/>
      <c r="H79" s="115"/>
    </row>
    <row r="80" spans="1:8" ht="15.75" customHeight="1" x14ac:dyDescent="0.25">
      <c r="A80" s="114"/>
      <c r="G80" s="115"/>
      <c r="H80" s="115"/>
    </row>
    <row r="81" spans="1:8" ht="15.75" customHeight="1" x14ac:dyDescent="0.25">
      <c r="A81" s="114"/>
      <c r="G81" s="115"/>
      <c r="H81" s="115"/>
    </row>
    <row r="82" spans="1:8" ht="15.75" customHeight="1" x14ac:dyDescent="0.25">
      <c r="A82" s="114"/>
      <c r="G82" s="115"/>
      <c r="H82" s="115"/>
    </row>
    <row r="83" spans="1:8" ht="15.75" customHeight="1" x14ac:dyDescent="0.25">
      <c r="A83" s="114"/>
      <c r="G83" s="115"/>
      <c r="H83" s="115"/>
    </row>
    <row r="84" spans="1:8" ht="15.75" customHeight="1" x14ac:dyDescent="0.25">
      <c r="A84" s="114"/>
      <c r="G84" s="115"/>
      <c r="H84" s="115"/>
    </row>
    <row r="85" spans="1:8" ht="15.75" customHeight="1" x14ac:dyDescent="0.25">
      <c r="A85" s="114"/>
      <c r="G85" s="115"/>
      <c r="H85" s="115"/>
    </row>
    <row r="86" spans="1:8" ht="15.75" customHeight="1" x14ac:dyDescent="0.25">
      <c r="A86" s="114"/>
      <c r="G86" s="115"/>
      <c r="H86" s="115"/>
    </row>
    <row r="87" spans="1:8" ht="15.75" customHeight="1" x14ac:dyDescent="0.25">
      <c r="A87" s="114"/>
      <c r="G87" s="115"/>
      <c r="H87" s="115"/>
    </row>
    <row r="88" spans="1:8" ht="15.75" customHeight="1" x14ac:dyDescent="0.25">
      <c r="A88" s="114"/>
      <c r="G88" s="115"/>
      <c r="H88" s="115"/>
    </row>
    <row r="89" spans="1:8" ht="15.75" customHeight="1" x14ac:dyDescent="0.25">
      <c r="A89" s="114"/>
      <c r="G89" s="115"/>
      <c r="H89" s="115"/>
    </row>
    <row r="90" spans="1:8" ht="15.75" customHeight="1" x14ac:dyDescent="0.25">
      <c r="A90" s="114"/>
      <c r="G90" s="115"/>
      <c r="H90" s="115"/>
    </row>
    <row r="91" spans="1:8" ht="15.75" customHeight="1" x14ac:dyDescent="0.25">
      <c r="A91" s="114"/>
      <c r="G91" s="115"/>
      <c r="H91" s="115"/>
    </row>
    <row r="92" spans="1:8" ht="15.75" customHeight="1" x14ac:dyDescent="0.25">
      <c r="A92" s="114"/>
      <c r="G92" s="115"/>
      <c r="H92" s="115"/>
    </row>
    <row r="93" spans="1:8" ht="15.75" customHeight="1" x14ac:dyDescent="0.25">
      <c r="A93" s="114"/>
      <c r="G93" s="115"/>
      <c r="H93" s="115"/>
    </row>
    <row r="94" spans="1:8" ht="15.75" customHeight="1" x14ac:dyDescent="0.25">
      <c r="A94" s="114"/>
      <c r="G94" s="115"/>
      <c r="H94" s="115"/>
    </row>
    <row r="95" spans="1:8" ht="15.75" customHeight="1" x14ac:dyDescent="0.25">
      <c r="A95" s="114"/>
      <c r="G95" s="115"/>
      <c r="H95" s="115"/>
    </row>
    <row r="96" spans="1:8" ht="15.75" customHeight="1" x14ac:dyDescent="0.25">
      <c r="A96" s="114"/>
      <c r="G96" s="115"/>
      <c r="H96" s="115"/>
    </row>
    <row r="97" spans="1:8" ht="15.75" customHeight="1" x14ac:dyDescent="0.25">
      <c r="A97" s="114"/>
      <c r="G97" s="115"/>
      <c r="H97" s="115"/>
    </row>
    <row r="98" spans="1:8" ht="15.75" customHeight="1" x14ac:dyDescent="0.25">
      <c r="A98" s="114"/>
      <c r="G98" s="115"/>
      <c r="H98" s="115"/>
    </row>
    <row r="99" spans="1:8" ht="15.75" customHeight="1" x14ac:dyDescent="0.25">
      <c r="A99" s="114"/>
      <c r="G99" s="115"/>
      <c r="H99" s="115"/>
    </row>
    <row r="100" spans="1:8" ht="15.75" customHeight="1" x14ac:dyDescent="0.25">
      <c r="A100" s="114"/>
      <c r="G100" s="115"/>
      <c r="H100" s="115"/>
    </row>
    <row r="101" spans="1:8" ht="15.75" customHeight="1" x14ac:dyDescent="0.25">
      <c r="A101" s="114"/>
      <c r="G101" s="115"/>
      <c r="H101" s="115"/>
    </row>
    <row r="102" spans="1:8" ht="15.75" customHeight="1" x14ac:dyDescent="0.25">
      <c r="A102" s="114"/>
      <c r="G102" s="115"/>
      <c r="H102" s="115"/>
    </row>
    <row r="103" spans="1:8" ht="15.75" customHeight="1" x14ac:dyDescent="0.25">
      <c r="A103" s="114"/>
      <c r="G103" s="115"/>
      <c r="H103" s="115"/>
    </row>
    <row r="104" spans="1:8" ht="15.75" customHeight="1" x14ac:dyDescent="0.25">
      <c r="A104" s="114"/>
      <c r="G104" s="115"/>
      <c r="H104" s="115"/>
    </row>
    <row r="105" spans="1:8" ht="15.75" customHeight="1" x14ac:dyDescent="0.25">
      <c r="A105" s="114"/>
      <c r="G105" s="115"/>
      <c r="H105" s="115"/>
    </row>
    <row r="106" spans="1:8" ht="15.75" customHeight="1" x14ac:dyDescent="0.25">
      <c r="A106" s="114"/>
      <c r="G106" s="115"/>
      <c r="H106" s="115"/>
    </row>
    <row r="107" spans="1:8" ht="15.75" customHeight="1" x14ac:dyDescent="0.25">
      <c r="A107" s="114"/>
      <c r="G107" s="115"/>
      <c r="H107" s="115"/>
    </row>
    <row r="108" spans="1:8" ht="15.75" customHeight="1" x14ac:dyDescent="0.25">
      <c r="A108" s="114"/>
      <c r="G108" s="115"/>
      <c r="H108" s="115"/>
    </row>
    <row r="109" spans="1:8" ht="15.75" customHeight="1" x14ac:dyDescent="0.25">
      <c r="A109" s="114"/>
      <c r="G109" s="115"/>
      <c r="H109" s="115"/>
    </row>
    <row r="110" spans="1:8" ht="15.75" customHeight="1" x14ac:dyDescent="0.25">
      <c r="A110" s="114"/>
      <c r="G110" s="115"/>
      <c r="H110" s="115"/>
    </row>
    <row r="111" spans="1:8" ht="15.75" customHeight="1" x14ac:dyDescent="0.25">
      <c r="A111" s="114"/>
      <c r="G111" s="115"/>
      <c r="H111" s="115"/>
    </row>
    <row r="112" spans="1:8" ht="15.75" customHeight="1" x14ac:dyDescent="0.25">
      <c r="A112" s="114"/>
      <c r="G112" s="115"/>
      <c r="H112" s="115"/>
    </row>
    <row r="113" spans="1:8" ht="15.75" customHeight="1" x14ac:dyDescent="0.25">
      <c r="A113" s="114"/>
      <c r="G113" s="115"/>
      <c r="H113" s="115"/>
    </row>
    <row r="114" spans="1:8" ht="15.75" customHeight="1" x14ac:dyDescent="0.25">
      <c r="A114" s="114"/>
      <c r="G114" s="115"/>
      <c r="H114" s="115"/>
    </row>
    <row r="115" spans="1:8" ht="15.75" customHeight="1" x14ac:dyDescent="0.25">
      <c r="A115" s="114"/>
      <c r="G115" s="115"/>
      <c r="H115" s="115"/>
    </row>
    <row r="116" spans="1:8" ht="15.75" customHeight="1" x14ac:dyDescent="0.25">
      <c r="A116" s="114"/>
      <c r="G116" s="115"/>
      <c r="H116" s="115"/>
    </row>
    <row r="117" spans="1:8" ht="15.75" customHeight="1" x14ac:dyDescent="0.25">
      <c r="A117" s="114"/>
      <c r="G117" s="115"/>
      <c r="H117" s="115"/>
    </row>
    <row r="118" spans="1:8" ht="15.75" customHeight="1" x14ac:dyDescent="0.25">
      <c r="A118" s="114"/>
      <c r="G118" s="115"/>
      <c r="H118" s="115"/>
    </row>
    <row r="119" spans="1:8" ht="15.75" customHeight="1" x14ac:dyDescent="0.25">
      <c r="A119" s="114"/>
      <c r="G119" s="115"/>
      <c r="H119" s="115"/>
    </row>
    <row r="120" spans="1:8" ht="15.75" customHeight="1" x14ac:dyDescent="0.25">
      <c r="A120" s="114"/>
      <c r="G120" s="115"/>
      <c r="H120" s="115"/>
    </row>
    <row r="121" spans="1:8" ht="15.75" customHeight="1" x14ac:dyDescent="0.25">
      <c r="A121" s="114"/>
      <c r="G121" s="115"/>
      <c r="H121" s="115"/>
    </row>
    <row r="122" spans="1:8" ht="15.75" customHeight="1" x14ac:dyDescent="0.25">
      <c r="A122" s="114"/>
      <c r="G122" s="115"/>
      <c r="H122" s="115"/>
    </row>
    <row r="123" spans="1:8" ht="15.75" customHeight="1" x14ac:dyDescent="0.25">
      <c r="A123" s="114"/>
      <c r="G123" s="115"/>
      <c r="H123" s="115"/>
    </row>
    <row r="124" spans="1:8" ht="15.75" customHeight="1" x14ac:dyDescent="0.25">
      <c r="A124" s="114"/>
      <c r="G124" s="115"/>
      <c r="H124" s="115"/>
    </row>
    <row r="125" spans="1:8" ht="15.75" customHeight="1" x14ac:dyDescent="0.25">
      <c r="A125" s="114"/>
      <c r="G125" s="115"/>
      <c r="H125" s="115"/>
    </row>
    <row r="126" spans="1:8" ht="15.75" customHeight="1" x14ac:dyDescent="0.25">
      <c r="A126" s="114"/>
      <c r="G126" s="115"/>
      <c r="H126" s="115"/>
    </row>
    <row r="127" spans="1:8" ht="15.75" customHeight="1" x14ac:dyDescent="0.25">
      <c r="A127" s="114"/>
      <c r="G127" s="115"/>
      <c r="H127" s="115"/>
    </row>
    <row r="128" spans="1:8" ht="15.75" customHeight="1" x14ac:dyDescent="0.25">
      <c r="A128" s="114"/>
      <c r="G128" s="115"/>
      <c r="H128" s="115"/>
    </row>
    <row r="129" spans="1:8" ht="15.75" customHeight="1" x14ac:dyDescent="0.25">
      <c r="A129" s="114"/>
      <c r="G129" s="115"/>
      <c r="H129" s="115"/>
    </row>
    <row r="130" spans="1:8" ht="15.75" customHeight="1" x14ac:dyDescent="0.25">
      <c r="A130" s="114"/>
      <c r="G130" s="115"/>
      <c r="H130" s="115"/>
    </row>
    <row r="131" spans="1:8" ht="15.75" customHeight="1" x14ac:dyDescent="0.25">
      <c r="A131" s="114"/>
      <c r="G131" s="115"/>
      <c r="H131" s="115"/>
    </row>
    <row r="132" spans="1:8" ht="15.75" customHeight="1" x14ac:dyDescent="0.25">
      <c r="A132" s="114"/>
      <c r="G132" s="115"/>
      <c r="H132" s="115"/>
    </row>
    <row r="133" spans="1:8" ht="15.75" customHeight="1" x14ac:dyDescent="0.25">
      <c r="A133" s="114"/>
      <c r="G133" s="115"/>
      <c r="H133" s="115"/>
    </row>
    <row r="134" spans="1:8" ht="15.75" customHeight="1" x14ac:dyDescent="0.25">
      <c r="A134" s="114"/>
      <c r="G134" s="115"/>
      <c r="H134" s="115"/>
    </row>
    <row r="135" spans="1:8" ht="15.75" customHeight="1" x14ac:dyDescent="0.25">
      <c r="A135" s="114"/>
      <c r="G135" s="115"/>
      <c r="H135" s="115"/>
    </row>
    <row r="136" spans="1:8" ht="15.75" customHeight="1" x14ac:dyDescent="0.25">
      <c r="A136" s="114"/>
      <c r="G136" s="115"/>
      <c r="H136" s="115"/>
    </row>
    <row r="137" spans="1:8" ht="15.75" customHeight="1" x14ac:dyDescent="0.25">
      <c r="A137" s="114"/>
      <c r="G137" s="115"/>
      <c r="H137" s="115"/>
    </row>
    <row r="138" spans="1:8" ht="15.75" customHeight="1" x14ac:dyDescent="0.25">
      <c r="A138" s="114"/>
      <c r="G138" s="115"/>
      <c r="H138" s="115"/>
    </row>
    <row r="139" spans="1:8" ht="15.75" customHeight="1" x14ac:dyDescent="0.25">
      <c r="A139" s="114"/>
      <c r="G139" s="115"/>
      <c r="H139" s="115"/>
    </row>
    <row r="140" spans="1:8" ht="15.75" customHeight="1" x14ac:dyDescent="0.25">
      <c r="A140" s="114"/>
      <c r="G140" s="115"/>
      <c r="H140" s="115"/>
    </row>
    <row r="141" spans="1:8" ht="15.75" customHeight="1" x14ac:dyDescent="0.25">
      <c r="A141" s="114"/>
      <c r="G141" s="115"/>
      <c r="H141" s="115"/>
    </row>
    <row r="142" spans="1:8" ht="15.75" customHeight="1" x14ac:dyDescent="0.25">
      <c r="A142" s="114"/>
      <c r="G142" s="115"/>
      <c r="H142" s="115"/>
    </row>
    <row r="143" spans="1:8" ht="15.75" customHeight="1" x14ac:dyDescent="0.25">
      <c r="A143" s="114"/>
      <c r="G143" s="115"/>
      <c r="H143" s="115"/>
    </row>
    <row r="144" spans="1:8" ht="15.75" customHeight="1" x14ac:dyDescent="0.25">
      <c r="A144" s="114"/>
      <c r="G144" s="115"/>
      <c r="H144" s="115"/>
    </row>
    <row r="145" spans="1:8" ht="15.75" customHeight="1" x14ac:dyDescent="0.25">
      <c r="A145" s="114"/>
      <c r="G145" s="115"/>
      <c r="H145" s="115"/>
    </row>
    <row r="146" spans="1:8" ht="15.75" customHeight="1" x14ac:dyDescent="0.25">
      <c r="A146" s="114"/>
      <c r="G146" s="115"/>
      <c r="H146" s="115"/>
    </row>
    <row r="147" spans="1:8" ht="15.75" customHeight="1" x14ac:dyDescent="0.25">
      <c r="A147" s="114"/>
      <c r="G147" s="115"/>
      <c r="H147" s="115"/>
    </row>
    <row r="148" spans="1:8" ht="15.75" customHeight="1" x14ac:dyDescent="0.25">
      <c r="A148" s="114"/>
      <c r="G148" s="115"/>
      <c r="H148" s="115"/>
    </row>
    <row r="149" spans="1:8" ht="15.75" customHeight="1" x14ac:dyDescent="0.25">
      <c r="A149" s="114"/>
      <c r="G149" s="115"/>
      <c r="H149" s="115"/>
    </row>
    <row r="150" spans="1:8" ht="15.75" customHeight="1" x14ac:dyDescent="0.25">
      <c r="A150" s="114"/>
      <c r="G150" s="115"/>
      <c r="H150" s="115"/>
    </row>
    <row r="151" spans="1:8" ht="15.75" customHeight="1" x14ac:dyDescent="0.25">
      <c r="A151" s="114"/>
      <c r="G151" s="115"/>
      <c r="H151" s="115"/>
    </row>
    <row r="152" spans="1:8" ht="15.75" customHeight="1" x14ac:dyDescent="0.25">
      <c r="A152" s="114"/>
      <c r="G152" s="115"/>
      <c r="H152" s="115"/>
    </row>
    <row r="153" spans="1:8" ht="15.75" customHeight="1" x14ac:dyDescent="0.25">
      <c r="A153" s="114"/>
      <c r="G153" s="115"/>
      <c r="H153" s="115"/>
    </row>
    <row r="154" spans="1:8" ht="15.75" customHeight="1" x14ac:dyDescent="0.25">
      <c r="A154" s="114"/>
      <c r="G154" s="115"/>
      <c r="H154" s="115"/>
    </row>
    <row r="155" spans="1:8" ht="15.75" customHeight="1" x14ac:dyDescent="0.25">
      <c r="A155" s="114"/>
      <c r="G155" s="115"/>
      <c r="H155" s="115"/>
    </row>
    <row r="156" spans="1:8" ht="15.75" customHeight="1" x14ac:dyDescent="0.25">
      <c r="A156" s="114"/>
      <c r="G156" s="115"/>
      <c r="H156" s="115"/>
    </row>
    <row r="157" spans="1:8" ht="15.75" customHeight="1" x14ac:dyDescent="0.25">
      <c r="A157" s="114"/>
      <c r="G157" s="115"/>
      <c r="H157" s="115"/>
    </row>
    <row r="158" spans="1:8" ht="15.75" customHeight="1" x14ac:dyDescent="0.25">
      <c r="A158" s="114"/>
      <c r="G158" s="115"/>
      <c r="H158" s="115"/>
    </row>
    <row r="159" spans="1:8" ht="15.75" customHeight="1" x14ac:dyDescent="0.25">
      <c r="A159" s="114"/>
      <c r="G159" s="115"/>
      <c r="H159" s="115"/>
    </row>
    <row r="160" spans="1:8" ht="15.75" customHeight="1" x14ac:dyDescent="0.25">
      <c r="A160" s="114"/>
      <c r="G160" s="115"/>
      <c r="H160" s="115"/>
    </row>
    <row r="161" spans="1:8" ht="15.75" customHeight="1" x14ac:dyDescent="0.25">
      <c r="A161" s="114"/>
      <c r="G161" s="115"/>
      <c r="H161" s="115"/>
    </row>
    <row r="162" spans="1:8" ht="15.75" customHeight="1" x14ac:dyDescent="0.25">
      <c r="A162" s="114"/>
      <c r="G162" s="115"/>
      <c r="H162" s="115"/>
    </row>
    <row r="163" spans="1:8" ht="15.75" customHeight="1" x14ac:dyDescent="0.25">
      <c r="A163" s="114"/>
      <c r="G163" s="115"/>
      <c r="H163" s="115"/>
    </row>
    <row r="164" spans="1:8" ht="15.75" customHeight="1" x14ac:dyDescent="0.25">
      <c r="A164" s="114"/>
      <c r="G164" s="115"/>
      <c r="H164" s="115"/>
    </row>
    <row r="165" spans="1:8" ht="15.75" customHeight="1" x14ac:dyDescent="0.25">
      <c r="A165" s="114"/>
      <c r="G165" s="115"/>
      <c r="H165" s="115"/>
    </row>
    <row r="166" spans="1:8" ht="15.75" customHeight="1" x14ac:dyDescent="0.25">
      <c r="A166" s="114"/>
      <c r="G166" s="115"/>
      <c r="H166" s="115"/>
    </row>
    <row r="167" spans="1:8" ht="15.75" customHeight="1" x14ac:dyDescent="0.25">
      <c r="A167" s="114"/>
      <c r="G167" s="115"/>
      <c r="H167" s="115"/>
    </row>
    <row r="168" spans="1:8" ht="15.75" customHeight="1" x14ac:dyDescent="0.25">
      <c r="A168" s="114"/>
      <c r="G168" s="115"/>
      <c r="H168" s="115"/>
    </row>
    <row r="169" spans="1:8" ht="15.75" customHeight="1" x14ac:dyDescent="0.25">
      <c r="A169" s="114"/>
      <c r="G169" s="115"/>
      <c r="H169" s="115"/>
    </row>
    <row r="170" spans="1:8" ht="15.75" customHeight="1" x14ac:dyDescent="0.25">
      <c r="A170" s="114"/>
      <c r="G170" s="115"/>
      <c r="H170" s="115"/>
    </row>
    <row r="171" spans="1:8" ht="15.75" customHeight="1" x14ac:dyDescent="0.25">
      <c r="A171" s="114"/>
      <c r="G171" s="115"/>
      <c r="H171" s="115"/>
    </row>
    <row r="172" spans="1:8" ht="15.75" customHeight="1" x14ac:dyDescent="0.25">
      <c r="A172" s="114"/>
      <c r="G172" s="115"/>
      <c r="H172" s="115"/>
    </row>
    <row r="173" spans="1:8" ht="15.75" customHeight="1" x14ac:dyDescent="0.25">
      <c r="A173" s="114"/>
      <c r="G173" s="115"/>
      <c r="H173" s="115"/>
    </row>
    <row r="174" spans="1:8" ht="15.75" customHeight="1" x14ac:dyDescent="0.25">
      <c r="A174" s="114"/>
      <c r="G174" s="115"/>
      <c r="H174" s="115"/>
    </row>
    <row r="175" spans="1:8" ht="15.75" customHeight="1" x14ac:dyDescent="0.25">
      <c r="A175" s="114"/>
      <c r="G175" s="115"/>
      <c r="H175" s="115"/>
    </row>
    <row r="176" spans="1:8" ht="15.75" customHeight="1" x14ac:dyDescent="0.25">
      <c r="A176" s="114"/>
      <c r="G176" s="115"/>
      <c r="H176" s="115"/>
    </row>
    <row r="177" spans="1:8" ht="15.75" customHeight="1" x14ac:dyDescent="0.25">
      <c r="A177" s="114"/>
      <c r="G177" s="115"/>
      <c r="H177" s="115"/>
    </row>
    <row r="178" spans="1:8" ht="15.75" customHeight="1" x14ac:dyDescent="0.25">
      <c r="A178" s="114"/>
      <c r="G178" s="115"/>
      <c r="H178" s="115"/>
    </row>
    <row r="179" spans="1:8" ht="15.75" customHeight="1" x14ac:dyDescent="0.25">
      <c r="A179" s="114"/>
      <c r="G179" s="115"/>
      <c r="H179" s="115"/>
    </row>
    <row r="180" spans="1:8" ht="15.75" customHeight="1" x14ac:dyDescent="0.25">
      <c r="A180" s="114"/>
      <c r="G180" s="115"/>
      <c r="H180" s="115"/>
    </row>
    <row r="181" spans="1:8" ht="15.75" customHeight="1" x14ac:dyDescent="0.25">
      <c r="A181" s="114"/>
      <c r="G181" s="115"/>
      <c r="H181" s="115"/>
    </row>
    <row r="182" spans="1:8" ht="15.75" customHeight="1" x14ac:dyDescent="0.25">
      <c r="A182" s="114"/>
      <c r="G182" s="115"/>
      <c r="H182" s="115"/>
    </row>
    <row r="183" spans="1:8" ht="15.75" customHeight="1" x14ac:dyDescent="0.25">
      <c r="A183" s="114"/>
      <c r="G183" s="115"/>
      <c r="H183" s="115"/>
    </row>
    <row r="184" spans="1:8" ht="15.75" customHeight="1" x14ac:dyDescent="0.25">
      <c r="A184" s="114"/>
      <c r="G184" s="115"/>
      <c r="H184" s="115"/>
    </row>
    <row r="185" spans="1:8" ht="15.75" customHeight="1" x14ac:dyDescent="0.25">
      <c r="A185" s="114"/>
      <c r="G185" s="115"/>
      <c r="H185" s="115"/>
    </row>
    <row r="186" spans="1:8" ht="15.75" customHeight="1" x14ac:dyDescent="0.25">
      <c r="A186" s="114"/>
      <c r="G186" s="115"/>
      <c r="H186" s="115"/>
    </row>
    <row r="187" spans="1:8" ht="15.75" customHeight="1" x14ac:dyDescent="0.25">
      <c r="A187" s="114"/>
      <c r="G187" s="115"/>
      <c r="H187" s="115"/>
    </row>
    <row r="188" spans="1:8" ht="15.75" customHeight="1" x14ac:dyDescent="0.25">
      <c r="A188" s="114"/>
      <c r="G188" s="115"/>
      <c r="H188" s="115"/>
    </row>
    <row r="189" spans="1:8" ht="15.75" customHeight="1" x14ac:dyDescent="0.25">
      <c r="A189" s="114"/>
      <c r="G189" s="115"/>
      <c r="H189" s="115"/>
    </row>
    <row r="190" spans="1:8" ht="15.75" customHeight="1" x14ac:dyDescent="0.25">
      <c r="A190" s="114"/>
      <c r="G190" s="115"/>
      <c r="H190" s="115"/>
    </row>
    <row r="191" spans="1:8" ht="15.75" customHeight="1" x14ac:dyDescent="0.25">
      <c r="A191" s="114"/>
      <c r="G191" s="115"/>
      <c r="H191" s="115"/>
    </row>
    <row r="192" spans="1:8" ht="15.75" customHeight="1" x14ac:dyDescent="0.25">
      <c r="A192" s="114"/>
      <c r="G192" s="115"/>
      <c r="H192" s="115"/>
    </row>
    <row r="193" spans="1:8" ht="15.75" customHeight="1" x14ac:dyDescent="0.25">
      <c r="A193" s="114"/>
      <c r="G193" s="115"/>
      <c r="H193" s="115"/>
    </row>
    <row r="194" spans="1:8" ht="15.75" customHeight="1" x14ac:dyDescent="0.25">
      <c r="A194" s="114"/>
      <c r="G194" s="115"/>
      <c r="H194" s="115"/>
    </row>
    <row r="195" spans="1:8" ht="15.75" customHeight="1" x14ac:dyDescent="0.25">
      <c r="A195" s="114"/>
      <c r="G195" s="115"/>
      <c r="H195" s="115"/>
    </row>
    <row r="196" spans="1:8" ht="15.75" customHeight="1" x14ac:dyDescent="0.25">
      <c r="A196" s="114"/>
      <c r="G196" s="115"/>
      <c r="H196" s="115"/>
    </row>
    <row r="197" spans="1:8" ht="15.75" customHeight="1" x14ac:dyDescent="0.25">
      <c r="A197" s="114"/>
      <c r="G197" s="115"/>
      <c r="H197" s="115"/>
    </row>
    <row r="198" spans="1:8" ht="15.75" customHeight="1" x14ac:dyDescent="0.25">
      <c r="A198" s="114"/>
      <c r="G198" s="115"/>
      <c r="H198" s="115"/>
    </row>
    <row r="199" spans="1:8" ht="15.75" customHeight="1" x14ac:dyDescent="0.25">
      <c r="A199" s="114"/>
      <c r="G199" s="115"/>
      <c r="H199" s="115"/>
    </row>
    <row r="200" spans="1:8" ht="15.75" customHeight="1" x14ac:dyDescent="0.25">
      <c r="A200" s="114"/>
      <c r="G200" s="115"/>
      <c r="H200" s="115"/>
    </row>
    <row r="201" spans="1:8" ht="15.75" customHeight="1" x14ac:dyDescent="0.25">
      <c r="A201" s="114"/>
      <c r="G201" s="115"/>
      <c r="H201" s="115"/>
    </row>
    <row r="202" spans="1:8" ht="15.75" customHeight="1" x14ac:dyDescent="0.25">
      <c r="A202" s="114"/>
      <c r="G202" s="115"/>
      <c r="H202" s="115"/>
    </row>
    <row r="203" spans="1:8" ht="15.75" customHeight="1" x14ac:dyDescent="0.25">
      <c r="A203" s="114"/>
      <c r="G203" s="115"/>
      <c r="H203" s="115"/>
    </row>
    <row r="204" spans="1:8" ht="15.75" customHeight="1" x14ac:dyDescent="0.25">
      <c r="A204" s="114"/>
      <c r="G204" s="115"/>
      <c r="H204" s="115"/>
    </row>
    <row r="205" spans="1:8" ht="15.75" customHeight="1" x14ac:dyDescent="0.25">
      <c r="A205" s="114"/>
      <c r="G205" s="115"/>
      <c r="H205" s="115"/>
    </row>
    <row r="206" spans="1:8" ht="15.75" customHeight="1" x14ac:dyDescent="0.25">
      <c r="A206" s="114"/>
      <c r="G206" s="115"/>
      <c r="H206" s="115"/>
    </row>
    <row r="207" spans="1:8" ht="15.75" customHeight="1" x14ac:dyDescent="0.25">
      <c r="A207" s="114"/>
      <c r="G207" s="115"/>
      <c r="H207" s="115"/>
    </row>
    <row r="208" spans="1:8" ht="15.75" customHeight="1" x14ac:dyDescent="0.25">
      <c r="A208" s="114"/>
      <c r="G208" s="115"/>
      <c r="H208" s="115"/>
    </row>
    <row r="209" spans="1:8" ht="15.75" customHeight="1" x14ac:dyDescent="0.25">
      <c r="A209" s="114"/>
      <c r="G209" s="115"/>
      <c r="H209" s="115"/>
    </row>
    <row r="210" spans="1:8" ht="15.75" customHeight="1" x14ac:dyDescent="0.25">
      <c r="A210" s="114"/>
      <c r="G210" s="115"/>
      <c r="H210" s="115"/>
    </row>
    <row r="211" spans="1:8" ht="15.75" customHeight="1" x14ac:dyDescent="0.25">
      <c r="A211" s="114"/>
      <c r="G211" s="115"/>
      <c r="H211" s="115"/>
    </row>
    <row r="212" spans="1:8" ht="15.75" customHeight="1" x14ac:dyDescent="0.25">
      <c r="A212" s="114"/>
      <c r="G212" s="115"/>
      <c r="H212" s="115"/>
    </row>
    <row r="213" spans="1:8" ht="15.75" customHeight="1" x14ac:dyDescent="0.25">
      <c r="A213" s="114"/>
      <c r="G213" s="115"/>
      <c r="H213" s="115"/>
    </row>
    <row r="214" spans="1:8" ht="15.75" customHeight="1" x14ac:dyDescent="0.25">
      <c r="A214" s="114"/>
      <c r="G214" s="115"/>
      <c r="H214" s="115"/>
    </row>
    <row r="215" spans="1:8" ht="15.75" customHeight="1" x14ac:dyDescent="0.25">
      <c r="A215" s="114"/>
      <c r="G215" s="115"/>
      <c r="H215" s="115"/>
    </row>
    <row r="216" spans="1:8" ht="15.75" customHeight="1" x14ac:dyDescent="0.25">
      <c r="A216" s="114"/>
      <c r="G216" s="115"/>
      <c r="H216" s="115"/>
    </row>
    <row r="217" spans="1:8" ht="15.75" customHeight="1" x14ac:dyDescent="0.25">
      <c r="A217" s="114"/>
      <c r="G217" s="115"/>
      <c r="H217" s="115"/>
    </row>
    <row r="218" spans="1:8" ht="15.75" customHeight="1" x14ac:dyDescent="0.25">
      <c r="A218" s="114"/>
      <c r="G218" s="115"/>
      <c r="H218" s="115"/>
    </row>
    <row r="219" spans="1:8" ht="15.75" customHeight="1" x14ac:dyDescent="0.25">
      <c r="A219" s="114"/>
      <c r="G219" s="115"/>
      <c r="H219" s="115"/>
    </row>
    <row r="220" spans="1:8" ht="15.75" customHeight="1" x14ac:dyDescent="0.25">
      <c r="A220" s="114"/>
      <c r="G220" s="115"/>
      <c r="H220" s="115"/>
    </row>
    <row r="221" spans="1:8" ht="15.75" customHeight="1" x14ac:dyDescent="0.25">
      <c r="A221" s="114"/>
      <c r="G221" s="115"/>
      <c r="H221" s="115"/>
    </row>
    <row r="222" spans="1:8" ht="15.75" customHeight="1" x14ac:dyDescent="0.25">
      <c r="A222" s="114"/>
      <c r="G222" s="115"/>
      <c r="H222" s="115"/>
    </row>
    <row r="223" spans="1:8" ht="15.75" customHeight="1" x14ac:dyDescent="0.25">
      <c r="A223" s="114"/>
      <c r="G223" s="115"/>
      <c r="H223" s="115"/>
    </row>
    <row r="224" spans="1:8" ht="15.75" customHeight="1" x14ac:dyDescent="0.25">
      <c r="A224" s="114"/>
      <c r="G224" s="115"/>
      <c r="H224" s="115"/>
    </row>
    <row r="225" spans="1:8" ht="15.75" customHeight="1" x14ac:dyDescent="0.25">
      <c r="A225" s="114"/>
      <c r="G225" s="115"/>
      <c r="H225" s="115"/>
    </row>
    <row r="226" spans="1:8" ht="15.75" customHeight="1" x14ac:dyDescent="0.25">
      <c r="A226" s="114"/>
      <c r="G226" s="115"/>
      <c r="H226" s="115"/>
    </row>
    <row r="227" spans="1:8" ht="15.75" customHeight="1" x14ac:dyDescent="0.25">
      <c r="A227" s="114"/>
      <c r="G227" s="115"/>
      <c r="H227" s="115"/>
    </row>
    <row r="228" spans="1:8" ht="15.75" customHeight="1" x14ac:dyDescent="0.25">
      <c r="A228" s="114"/>
      <c r="G228" s="115"/>
      <c r="H228" s="115"/>
    </row>
    <row r="229" spans="1:8" ht="15.75" customHeight="1" x14ac:dyDescent="0.25">
      <c r="A229" s="114"/>
      <c r="G229" s="115"/>
      <c r="H229" s="115"/>
    </row>
    <row r="230" spans="1:8" ht="15.75" customHeight="1" x14ac:dyDescent="0.25">
      <c r="A230" s="114"/>
      <c r="G230" s="115"/>
      <c r="H230" s="115"/>
    </row>
    <row r="231" spans="1:8" ht="15.75" customHeight="1" x14ac:dyDescent="0.25">
      <c r="A231" s="114"/>
      <c r="G231" s="115"/>
      <c r="H231" s="115"/>
    </row>
    <row r="232" spans="1:8" ht="15.75" customHeight="1" x14ac:dyDescent="0.25">
      <c r="G232" s="115"/>
      <c r="H232" s="115"/>
    </row>
    <row r="233" spans="1:8" ht="15.75" customHeight="1" x14ac:dyDescent="0.25">
      <c r="G233" s="115"/>
      <c r="H233" s="115"/>
    </row>
    <row r="234" spans="1:8" ht="15.75" customHeight="1" x14ac:dyDescent="0.25">
      <c r="G234" s="115"/>
      <c r="H234" s="115"/>
    </row>
    <row r="235" spans="1:8" ht="15.75" customHeight="1" x14ac:dyDescent="0.25">
      <c r="G235" s="115"/>
      <c r="H235" s="115"/>
    </row>
    <row r="236" spans="1:8" ht="15.75" customHeight="1" x14ac:dyDescent="0.25">
      <c r="G236" s="115"/>
      <c r="H236" s="115"/>
    </row>
    <row r="237" spans="1:8" ht="15.75" customHeight="1" x14ac:dyDescent="0.25">
      <c r="G237" s="115"/>
      <c r="H237" s="115"/>
    </row>
    <row r="238" spans="1:8" ht="15.75" customHeight="1" x14ac:dyDescent="0.25">
      <c r="G238" s="115"/>
      <c r="H238" s="115"/>
    </row>
    <row r="239" spans="1:8" ht="15.75" customHeight="1" x14ac:dyDescent="0.25">
      <c r="G239" s="115"/>
      <c r="H239" s="115"/>
    </row>
    <row r="240" spans="1:8" ht="15.75" customHeight="1" x14ac:dyDescent="0.25">
      <c r="G240" s="115"/>
      <c r="H240" s="115"/>
    </row>
    <row r="241" spans="7:8" ht="15.75" customHeight="1" x14ac:dyDescent="0.25">
      <c r="G241" s="115"/>
      <c r="H241" s="115"/>
    </row>
    <row r="242" spans="7:8" ht="15.75" customHeight="1" x14ac:dyDescent="0.25">
      <c r="G242" s="115"/>
      <c r="H242" s="115"/>
    </row>
    <row r="243" spans="7:8" ht="15.75" customHeight="1" x14ac:dyDescent="0.25">
      <c r="G243" s="115"/>
      <c r="H243" s="115"/>
    </row>
    <row r="244" spans="7:8" ht="15.75" customHeight="1" x14ac:dyDescent="0.25">
      <c r="G244" s="115"/>
      <c r="H244" s="115"/>
    </row>
    <row r="245" spans="7:8" ht="15.75" customHeight="1" x14ac:dyDescent="0.25">
      <c r="G245" s="115"/>
      <c r="H245" s="115"/>
    </row>
    <row r="246" spans="7:8" ht="15.75" customHeight="1" x14ac:dyDescent="0.25">
      <c r="G246" s="115"/>
      <c r="H246" s="115"/>
    </row>
    <row r="247" spans="7:8" ht="15.75" customHeight="1" x14ac:dyDescent="0.25">
      <c r="G247" s="115"/>
      <c r="H247" s="115"/>
    </row>
    <row r="248" spans="7:8" ht="15.75" customHeight="1" x14ac:dyDescent="0.25">
      <c r="G248" s="115"/>
      <c r="H248" s="115"/>
    </row>
    <row r="249" spans="7:8" ht="15.75" customHeight="1" x14ac:dyDescent="0.25">
      <c r="G249" s="115"/>
      <c r="H249" s="115"/>
    </row>
    <row r="250" spans="7:8" ht="15.75" customHeight="1" x14ac:dyDescent="0.25">
      <c r="G250" s="115"/>
      <c r="H250" s="115"/>
    </row>
    <row r="251" spans="7:8" ht="15.75" customHeight="1" x14ac:dyDescent="0.25">
      <c r="G251" s="115"/>
      <c r="H251" s="115"/>
    </row>
    <row r="252" spans="7:8" ht="15.75" customHeight="1" x14ac:dyDescent="0.25">
      <c r="G252" s="115"/>
      <c r="H252" s="115"/>
    </row>
    <row r="253" spans="7:8" ht="15.75" customHeight="1" x14ac:dyDescent="0.25">
      <c r="G253" s="115"/>
      <c r="H253" s="115"/>
    </row>
    <row r="254" spans="7:8" ht="15.75" customHeight="1" x14ac:dyDescent="0.25">
      <c r="G254" s="115"/>
      <c r="H254" s="115"/>
    </row>
    <row r="255" spans="7:8" ht="15.75" customHeight="1" x14ac:dyDescent="0.25">
      <c r="G255" s="115"/>
      <c r="H255" s="115"/>
    </row>
    <row r="256" spans="7:8" ht="15.75" customHeight="1" x14ac:dyDescent="0.25">
      <c r="G256" s="115"/>
      <c r="H256" s="115"/>
    </row>
    <row r="257" spans="7:8" ht="15.75" customHeight="1" x14ac:dyDescent="0.25">
      <c r="G257" s="115"/>
      <c r="H257" s="115"/>
    </row>
    <row r="258" spans="7:8" ht="15.75" customHeight="1" x14ac:dyDescent="0.25">
      <c r="G258" s="115"/>
      <c r="H258" s="115"/>
    </row>
    <row r="259" spans="7:8" ht="15.75" customHeight="1" x14ac:dyDescent="0.25">
      <c r="G259" s="115"/>
      <c r="H259" s="115"/>
    </row>
    <row r="260" spans="7:8" ht="15.75" customHeight="1" x14ac:dyDescent="0.25">
      <c r="G260" s="115"/>
      <c r="H260" s="115"/>
    </row>
    <row r="261" spans="7:8" ht="15.75" customHeight="1" x14ac:dyDescent="0.25">
      <c r="G261" s="115"/>
      <c r="H261" s="115"/>
    </row>
    <row r="262" spans="7:8" ht="15.75" customHeight="1" x14ac:dyDescent="0.25">
      <c r="G262" s="115"/>
      <c r="H262" s="115"/>
    </row>
    <row r="263" spans="7:8" ht="15.75" customHeight="1" x14ac:dyDescent="0.25">
      <c r="G263" s="115"/>
      <c r="H263" s="115"/>
    </row>
    <row r="264" spans="7:8" ht="15.75" customHeight="1" x14ac:dyDescent="0.25">
      <c r="G264" s="115"/>
      <c r="H264" s="115"/>
    </row>
    <row r="265" spans="7:8" ht="15.75" customHeight="1" x14ac:dyDescent="0.25">
      <c r="G265" s="115"/>
      <c r="H265" s="115"/>
    </row>
    <row r="266" spans="7:8" ht="15.75" customHeight="1" x14ac:dyDescent="0.25">
      <c r="G266" s="115"/>
      <c r="H266" s="115"/>
    </row>
    <row r="267" spans="7:8" ht="15.75" customHeight="1" x14ac:dyDescent="0.25">
      <c r="G267" s="115"/>
      <c r="H267" s="115"/>
    </row>
    <row r="268" spans="7:8" ht="15.75" customHeight="1" x14ac:dyDescent="0.25">
      <c r="G268" s="115"/>
      <c r="H268" s="115"/>
    </row>
    <row r="269" spans="7:8" ht="15.75" customHeight="1" x14ac:dyDescent="0.25">
      <c r="G269" s="115"/>
      <c r="H269" s="115"/>
    </row>
    <row r="270" spans="7:8" ht="15.75" customHeight="1" x14ac:dyDescent="0.25">
      <c r="G270" s="115"/>
      <c r="H270" s="115"/>
    </row>
    <row r="271" spans="7:8" ht="15.75" customHeight="1" x14ac:dyDescent="0.25">
      <c r="G271" s="115"/>
      <c r="H271" s="115"/>
    </row>
    <row r="272" spans="7:8" ht="15.75" customHeight="1" x14ac:dyDescent="0.25">
      <c r="G272" s="115"/>
      <c r="H272" s="115"/>
    </row>
    <row r="273" spans="7:8" ht="15.75" customHeight="1" x14ac:dyDescent="0.25">
      <c r="G273" s="115"/>
      <c r="H273" s="115"/>
    </row>
    <row r="274" spans="7:8" ht="15.75" customHeight="1" x14ac:dyDescent="0.25">
      <c r="G274" s="115"/>
      <c r="H274" s="115"/>
    </row>
    <row r="275" spans="7:8" ht="15.75" customHeight="1" x14ac:dyDescent="0.25">
      <c r="G275" s="115"/>
      <c r="H275" s="115"/>
    </row>
    <row r="276" spans="7:8" ht="15.75" customHeight="1" x14ac:dyDescent="0.25">
      <c r="G276" s="115"/>
      <c r="H276" s="115"/>
    </row>
    <row r="277" spans="7:8" ht="15.75" customHeight="1" x14ac:dyDescent="0.25">
      <c r="G277" s="115"/>
      <c r="H277" s="115"/>
    </row>
    <row r="278" spans="7:8" ht="15.75" customHeight="1" x14ac:dyDescent="0.25">
      <c r="G278" s="115"/>
      <c r="H278" s="115"/>
    </row>
    <row r="279" spans="7:8" ht="15.75" customHeight="1" x14ac:dyDescent="0.25">
      <c r="G279" s="115"/>
      <c r="H279" s="115"/>
    </row>
    <row r="280" spans="7:8" ht="15.75" customHeight="1" x14ac:dyDescent="0.25">
      <c r="G280" s="115"/>
      <c r="H280" s="115"/>
    </row>
    <row r="281" spans="7:8" ht="15.75" customHeight="1" x14ac:dyDescent="0.25">
      <c r="G281" s="115"/>
      <c r="H281" s="115"/>
    </row>
    <row r="282" spans="7:8" ht="15.75" customHeight="1" x14ac:dyDescent="0.25">
      <c r="G282" s="115"/>
      <c r="H282" s="115"/>
    </row>
    <row r="283" spans="7:8" ht="15.75" customHeight="1" x14ac:dyDescent="0.25">
      <c r="G283" s="115"/>
      <c r="H283" s="115"/>
    </row>
    <row r="284" spans="7:8" ht="15.75" customHeight="1" x14ac:dyDescent="0.25">
      <c r="G284" s="115"/>
      <c r="H284" s="115"/>
    </row>
    <row r="285" spans="7:8" ht="15.75" customHeight="1" x14ac:dyDescent="0.25">
      <c r="G285" s="115"/>
      <c r="H285" s="115"/>
    </row>
    <row r="286" spans="7:8" ht="15.75" customHeight="1" x14ac:dyDescent="0.25">
      <c r="G286" s="115"/>
      <c r="H286" s="115"/>
    </row>
    <row r="287" spans="7:8" ht="15.75" customHeight="1" x14ac:dyDescent="0.25">
      <c r="G287" s="115"/>
      <c r="H287" s="115"/>
    </row>
    <row r="288" spans="7:8" ht="15.75" customHeight="1" x14ac:dyDescent="0.25">
      <c r="G288" s="115"/>
      <c r="H288" s="115"/>
    </row>
    <row r="289" spans="7:8" ht="15.75" customHeight="1" x14ac:dyDescent="0.25">
      <c r="G289" s="115"/>
      <c r="H289" s="115"/>
    </row>
    <row r="290" spans="7:8" ht="15.75" customHeight="1" x14ac:dyDescent="0.25">
      <c r="G290" s="115"/>
      <c r="H290" s="115"/>
    </row>
    <row r="291" spans="7:8" ht="15.75" customHeight="1" x14ac:dyDescent="0.25">
      <c r="G291" s="115"/>
      <c r="H291" s="115"/>
    </row>
    <row r="292" spans="7:8" ht="15.75" customHeight="1" x14ac:dyDescent="0.25">
      <c r="G292" s="115"/>
      <c r="H292" s="115"/>
    </row>
    <row r="293" spans="7:8" ht="15.75" customHeight="1" x14ac:dyDescent="0.25">
      <c r="G293" s="115"/>
      <c r="H293" s="115"/>
    </row>
    <row r="294" spans="7:8" ht="15.75" customHeight="1" x14ac:dyDescent="0.25">
      <c r="G294" s="115"/>
      <c r="H294" s="115"/>
    </row>
    <row r="295" spans="7:8" ht="15.75" customHeight="1" x14ac:dyDescent="0.25">
      <c r="G295" s="115"/>
      <c r="H295" s="115"/>
    </row>
    <row r="296" spans="7:8" ht="15.75" customHeight="1" x14ac:dyDescent="0.25">
      <c r="G296" s="115"/>
      <c r="H296" s="115"/>
    </row>
    <row r="297" spans="7:8" ht="15.75" customHeight="1" x14ac:dyDescent="0.25">
      <c r="G297" s="115"/>
      <c r="H297" s="115"/>
    </row>
    <row r="298" spans="7:8" ht="15.75" customHeight="1" x14ac:dyDescent="0.25">
      <c r="G298" s="115"/>
      <c r="H298" s="115"/>
    </row>
    <row r="299" spans="7:8" ht="15.75" customHeight="1" x14ac:dyDescent="0.25">
      <c r="G299" s="115"/>
      <c r="H299" s="115"/>
    </row>
    <row r="300" spans="7:8" ht="15.75" customHeight="1" x14ac:dyDescent="0.25">
      <c r="G300" s="115"/>
      <c r="H300" s="115"/>
    </row>
    <row r="301" spans="7:8" ht="15.75" customHeight="1" x14ac:dyDescent="0.25">
      <c r="G301" s="115"/>
      <c r="H301" s="115"/>
    </row>
    <row r="302" spans="7:8" ht="15.75" customHeight="1" x14ac:dyDescent="0.25">
      <c r="G302" s="115"/>
      <c r="H302" s="115"/>
    </row>
    <row r="303" spans="7:8" ht="15.75" customHeight="1" x14ac:dyDescent="0.25">
      <c r="G303" s="115"/>
      <c r="H303" s="115"/>
    </row>
    <row r="304" spans="7:8" ht="15.75" customHeight="1" x14ac:dyDescent="0.25">
      <c r="G304" s="115"/>
      <c r="H304" s="115"/>
    </row>
    <row r="305" spans="7:8" ht="15.75" customHeight="1" x14ac:dyDescent="0.25">
      <c r="G305" s="115"/>
      <c r="H305" s="115"/>
    </row>
    <row r="306" spans="7:8" ht="15.75" customHeight="1" x14ac:dyDescent="0.25">
      <c r="G306" s="115"/>
      <c r="H306" s="115"/>
    </row>
    <row r="307" spans="7:8" ht="15.75" customHeight="1" x14ac:dyDescent="0.25">
      <c r="G307" s="115"/>
      <c r="H307" s="115"/>
    </row>
    <row r="308" spans="7:8" ht="15.75" customHeight="1" x14ac:dyDescent="0.25">
      <c r="G308" s="115"/>
      <c r="H308" s="115"/>
    </row>
    <row r="309" spans="7:8" ht="15.75" customHeight="1" x14ac:dyDescent="0.25">
      <c r="G309" s="115"/>
      <c r="H309" s="115"/>
    </row>
    <row r="310" spans="7:8" ht="15.75" customHeight="1" x14ac:dyDescent="0.25">
      <c r="G310" s="115"/>
      <c r="H310" s="115"/>
    </row>
    <row r="311" spans="7:8" ht="15.75" customHeight="1" x14ac:dyDescent="0.25">
      <c r="G311" s="115"/>
      <c r="H311" s="115"/>
    </row>
    <row r="312" spans="7:8" ht="15.75" customHeight="1" x14ac:dyDescent="0.25">
      <c r="G312" s="115"/>
      <c r="H312" s="115"/>
    </row>
    <row r="313" spans="7:8" ht="15.75" customHeight="1" x14ac:dyDescent="0.25">
      <c r="G313" s="115"/>
      <c r="H313" s="115"/>
    </row>
    <row r="314" spans="7:8" ht="15.75" customHeight="1" x14ac:dyDescent="0.25">
      <c r="G314" s="115"/>
      <c r="H314" s="115"/>
    </row>
    <row r="315" spans="7:8" ht="15.75" customHeight="1" x14ac:dyDescent="0.25">
      <c r="G315" s="115"/>
      <c r="H315" s="115"/>
    </row>
    <row r="316" spans="7:8" ht="15.75" customHeight="1" x14ac:dyDescent="0.25">
      <c r="G316" s="115"/>
      <c r="H316" s="115"/>
    </row>
    <row r="317" spans="7:8" ht="15.75" customHeight="1" x14ac:dyDescent="0.25">
      <c r="G317" s="115"/>
      <c r="H317" s="115"/>
    </row>
    <row r="318" spans="7:8" ht="15.75" customHeight="1" x14ac:dyDescent="0.25">
      <c r="G318" s="115"/>
      <c r="H318" s="115"/>
    </row>
    <row r="319" spans="7:8" ht="15.75" customHeight="1" x14ac:dyDescent="0.25">
      <c r="G319" s="115"/>
      <c r="H319" s="115"/>
    </row>
    <row r="320" spans="7:8" ht="15.75" customHeight="1" x14ac:dyDescent="0.25">
      <c r="G320" s="115"/>
      <c r="H320" s="115"/>
    </row>
    <row r="321" spans="7:8" ht="15.75" customHeight="1" x14ac:dyDescent="0.25">
      <c r="G321" s="115"/>
      <c r="H321" s="115"/>
    </row>
    <row r="322" spans="7:8" ht="15.75" customHeight="1" x14ac:dyDescent="0.25">
      <c r="G322" s="115"/>
      <c r="H322" s="115"/>
    </row>
    <row r="323" spans="7:8" ht="15.75" customHeight="1" x14ac:dyDescent="0.25">
      <c r="G323" s="115"/>
      <c r="H323" s="115"/>
    </row>
    <row r="324" spans="7:8" ht="15.75" customHeight="1" x14ac:dyDescent="0.25">
      <c r="G324" s="115"/>
      <c r="H324" s="115"/>
    </row>
    <row r="325" spans="7:8" ht="15.75" customHeight="1" x14ac:dyDescent="0.25">
      <c r="G325" s="115"/>
      <c r="H325" s="115"/>
    </row>
    <row r="326" spans="7:8" ht="15.75" customHeight="1" x14ac:dyDescent="0.25">
      <c r="G326" s="115"/>
      <c r="H326" s="115"/>
    </row>
    <row r="327" spans="7:8" ht="15.75" customHeight="1" x14ac:dyDescent="0.25">
      <c r="G327" s="115"/>
      <c r="H327" s="115"/>
    </row>
    <row r="328" spans="7:8" ht="15.75" customHeight="1" x14ac:dyDescent="0.25">
      <c r="G328" s="115"/>
      <c r="H328" s="115"/>
    </row>
    <row r="329" spans="7:8" ht="15.75" customHeight="1" x14ac:dyDescent="0.25">
      <c r="G329" s="115"/>
      <c r="H329" s="115"/>
    </row>
    <row r="330" spans="7:8" ht="15.75" customHeight="1" x14ac:dyDescent="0.25">
      <c r="G330" s="115"/>
      <c r="H330" s="115"/>
    </row>
    <row r="331" spans="7:8" ht="15.75" customHeight="1" x14ac:dyDescent="0.25">
      <c r="G331" s="115"/>
      <c r="H331" s="115"/>
    </row>
    <row r="332" spans="7:8" ht="15.75" customHeight="1" x14ac:dyDescent="0.25">
      <c r="G332" s="115"/>
      <c r="H332" s="115"/>
    </row>
    <row r="333" spans="7:8" ht="15.75" customHeight="1" x14ac:dyDescent="0.25">
      <c r="G333" s="115"/>
      <c r="H333" s="115"/>
    </row>
    <row r="334" spans="7:8" ht="15.75" customHeight="1" x14ac:dyDescent="0.25">
      <c r="G334" s="115"/>
      <c r="H334" s="115"/>
    </row>
    <row r="335" spans="7:8" ht="15.75" customHeight="1" x14ac:dyDescent="0.25">
      <c r="G335" s="115"/>
      <c r="H335" s="115"/>
    </row>
    <row r="336" spans="7:8" ht="15.75" customHeight="1" x14ac:dyDescent="0.25">
      <c r="G336" s="115"/>
      <c r="H336" s="115"/>
    </row>
    <row r="337" spans="7:8" ht="15.75" customHeight="1" x14ac:dyDescent="0.25">
      <c r="G337" s="115"/>
      <c r="H337" s="115"/>
    </row>
    <row r="338" spans="7:8" ht="15.75" customHeight="1" x14ac:dyDescent="0.25">
      <c r="G338" s="115"/>
      <c r="H338" s="115"/>
    </row>
    <row r="339" spans="7:8" ht="15.75" customHeight="1" x14ac:dyDescent="0.25">
      <c r="G339" s="115"/>
      <c r="H339" s="115"/>
    </row>
    <row r="340" spans="7:8" ht="15.75" customHeight="1" x14ac:dyDescent="0.25">
      <c r="G340" s="115"/>
      <c r="H340" s="115"/>
    </row>
    <row r="341" spans="7:8" ht="15.75" customHeight="1" x14ac:dyDescent="0.25">
      <c r="G341" s="115"/>
      <c r="H341" s="115"/>
    </row>
    <row r="342" spans="7:8" ht="15.75" customHeight="1" x14ac:dyDescent="0.25">
      <c r="G342" s="115"/>
      <c r="H342" s="115"/>
    </row>
    <row r="343" spans="7:8" ht="15.75" customHeight="1" x14ac:dyDescent="0.25">
      <c r="G343" s="115"/>
      <c r="H343" s="115"/>
    </row>
    <row r="344" spans="7:8" ht="15.75" customHeight="1" x14ac:dyDescent="0.25">
      <c r="G344" s="115"/>
      <c r="H344" s="115"/>
    </row>
    <row r="345" spans="7:8" ht="15.75" customHeight="1" x14ac:dyDescent="0.25">
      <c r="G345" s="115"/>
      <c r="H345" s="115"/>
    </row>
    <row r="346" spans="7:8" ht="15.75" customHeight="1" x14ac:dyDescent="0.25">
      <c r="G346" s="115"/>
      <c r="H346" s="115"/>
    </row>
    <row r="347" spans="7:8" ht="15.75" customHeight="1" x14ac:dyDescent="0.25">
      <c r="G347" s="115"/>
      <c r="H347" s="115"/>
    </row>
    <row r="348" spans="7:8" ht="15.75" customHeight="1" x14ac:dyDescent="0.25">
      <c r="G348" s="115"/>
      <c r="H348" s="115"/>
    </row>
    <row r="349" spans="7:8" ht="15.75" customHeight="1" x14ac:dyDescent="0.25">
      <c r="G349" s="115"/>
      <c r="H349" s="115"/>
    </row>
    <row r="350" spans="7:8" ht="15.75" customHeight="1" x14ac:dyDescent="0.25">
      <c r="G350" s="115"/>
      <c r="H350" s="115"/>
    </row>
    <row r="351" spans="7:8" ht="15.75" customHeight="1" x14ac:dyDescent="0.25">
      <c r="G351" s="115"/>
      <c r="H351" s="115"/>
    </row>
    <row r="352" spans="7:8" ht="15.75" customHeight="1" x14ac:dyDescent="0.25">
      <c r="G352" s="115"/>
      <c r="H352" s="115"/>
    </row>
    <row r="353" spans="7:8" ht="15.75" customHeight="1" x14ac:dyDescent="0.25">
      <c r="G353" s="115"/>
      <c r="H353" s="115"/>
    </row>
    <row r="354" spans="7:8" ht="15.75" customHeight="1" x14ac:dyDescent="0.25">
      <c r="G354" s="115"/>
      <c r="H354" s="115"/>
    </row>
    <row r="355" spans="7:8" ht="15.75" customHeight="1" x14ac:dyDescent="0.25">
      <c r="G355" s="115"/>
      <c r="H355" s="115"/>
    </row>
    <row r="356" spans="7:8" ht="15.75" customHeight="1" x14ac:dyDescent="0.25">
      <c r="G356" s="115"/>
      <c r="H356" s="115"/>
    </row>
    <row r="357" spans="7:8" ht="15.75" customHeight="1" x14ac:dyDescent="0.25">
      <c r="G357" s="115"/>
      <c r="H357" s="115"/>
    </row>
    <row r="358" spans="7:8" ht="15.75" customHeight="1" x14ac:dyDescent="0.25">
      <c r="G358" s="115"/>
      <c r="H358" s="115"/>
    </row>
    <row r="359" spans="7:8" ht="15.75" customHeight="1" x14ac:dyDescent="0.25">
      <c r="G359" s="115"/>
      <c r="H359" s="115"/>
    </row>
    <row r="360" spans="7:8" ht="15.75" customHeight="1" x14ac:dyDescent="0.25">
      <c r="G360" s="115"/>
      <c r="H360" s="115"/>
    </row>
    <row r="361" spans="7:8" ht="15.75" customHeight="1" x14ac:dyDescent="0.25">
      <c r="G361" s="115"/>
      <c r="H361" s="115"/>
    </row>
    <row r="362" spans="7:8" ht="15.75" customHeight="1" x14ac:dyDescent="0.25">
      <c r="G362" s="115"/>
      <c r="H362" s="115"/>
    </row>
    <row r="363" spans="7:8" ht="15.75" customHeight="1" x14ac:dyDescent="0.25">
      <c r="G363" s="115"/>
      <c r="H363" s="115"/>
    </row>
    <row r="364" spans="7:8" ht="15.75" customHeight="1" x14ac:dyDescent="0.25">
      <c r="G364" s="115"/>
      <c r="H364" s="115"/>
    </row>
    <row r="365" spans="7:8" ht="15.75" customHeight="1" x14ac:dyDescent="0.25">
      <c r="G365" s="115"/>
      <c r="H365" s="115"/>
    </row>
    <row r="366" spans="7:8" ht="15.75" customHeight="1" x14ac:dyDescent="0.25">
      <c r="G366" s="115"/>
      <c r="H366" s="115"/>
    </row>
    <row r="367" spans="7:8" ht="15.75" customHeight="1" x14ac:dyDescent="0.25">
      <c r="G367" s="115"/>
      <c r="H367" s="115"/>
    </row>
    <row r="368" spans="7:8" ht="15.75" customHeight="1" x14ac:dyDescent="0.25">
      <c r="G368" s="115"/>
      <c r="H368" s="115"/>
    </row>
    <row r="369" spans="7:8" ht="15.75" customHeight="1" x14ac:dyDescent="0.25">
      <c r="G369" s="115"/>
      <c r="H369" s="115"/>
    </row>
    <row r="370" spans="7:8" ht="15.75" customHeight="1" x14ac:dyDescent="0.25">
      <c r="G370" s="115"/>
      <c r="H370" s="115"/>
    </row>
    <row r="371" spans="7:8" ht="15.75" customHeight="1" x14ac:dyDescent="0.25">
      <c r="G371" s="115"/>
      <c r="H371" s="115"/>
    </row>
    <row r="372" spans="7:8" ht="15.75" customHeight="1" x14ac:dyDescent="0.25">
      <c r="G372" s="115"/>
      <c r="H372" s="115"/>
    </row>
    <row r="373" spans="7:8" ht="15.75" customHeight="1" x14ac:dyDescent="0.25">
      <c r="G373" s="115"/>
      <c r="H373" s="115"/>
    </row>
    <row r="374" spans="7:8" ht="15.75" customHeight="1" x14ac:dyDescent="0.25">
      <c r="G374" s="115"/>
      <c r="H374" s="115"/>
    </row>
    <row r="375" spans="7:8" ht="15.75" customHeight="1" x14ac:dyDescent="0.25">
      <c r="G375" s="115"/>
      <c r="H375" s="115"/>
    </row>
    <row r="376" spans="7:8" ht="15.75" customHeight="1" x14ac:dyDescent="0.25">
      <c r="G376" s="115"/>
      <c r="H376" s="115"/>
    </row>
    <row r="377" spans="7:8" ht="15.75" customHeight="1" x14ac:dyDescent="0.25">
      <c r="G377" s="115"/>
      <c r="H377" s="115"/>
    </row>
    <row r="378" spans="7:8" ht="15.75" customHeight="1" x14ac:dyDescent="0.25">
      <c r="G378" s="115"/>
      <c r="H378" s="115"/>
    </row>
    <row r="379" spans="7:8" ht="15.75" customHeight="1" x14ac:dyDescent="0.25">
      <c r="G379" s="115"/>
      <c r="H379" s="115"/>
    </row>
    <row r="380" spans="7:8" ht="15.75" customHeight="1" x14ac:dyDescent="0.25">
      <c r="G380" s="115"/>
      <c r="H380" s="115"/>
    </row>
    <row r="381" spans="7:8" ht="15.75" customHeight="1" x14ac:dyDescent="0.25">
      <c r="G381" s="115"/>
      <c r="H381" s="115"/>
    </row>
    <row r="382" spans="7:8" ht="15.75" customHeight="1" x14ac:dyDescent="0.25">
      <c r="G382" s="115"/>
      <c r="H382" s="115"/>
    </row>
    <row r="383" spans="7:8" ht="15.75" customHeight="1" x14ac:dyDescent="0.25">
      <c r="G383" s="115"/>
      <c r="H383" s="115"/>
    </row>
    <row r="384" spans="7:8" ht="15.75" customHeight="1" x14ac:dyDescent="0.25">
      <c r="G384" s="115"/>
      <c r="H384" s="115"/>
    </row>
    <row r="385" spans="7:8" ht="15.75" customHeight="1" x14ac:dyDescent="0.25">
      <c r="G385" s="115"/>
      <c r="H385" s="115"/>
    </row>
    <row r="386" spans="7:8" ht="15.75" customHeight="1" x14ac:dyDescent="0.25">
      <c r="G386" s="115"/>
      <c r="H386" s="115"/>
    </row>
    <row r="387" spans="7:8" ht="15.75" customHeight="1" x14ac:dyDescent="0.25">
      <c r="G387" s="115"/>
      <c r="H387" s="115"/>
    </row>
    <row r="388" spans="7:8" ht="15.75" customHeight="1" x14ac:dyDescent="0.25">
      <c r="G388" s="115"/>
      <c r="H388" s="115"/>
    </row>
    <row r="389" spans="7:8" ht="15.75" customHeight="1" x14ac:dyDescent="0.25">
      <c r="G389" s="115"/>
      <c r="H389" s="115"/>
    </row>
    <row r="390" spans="7:8" ht="15.75" customHeight="1" x14ac:dyDescent="0.25">
      <c r="G390" s="115"/>
      <c r="H390" s="115"/>
    </row>
    <row r="391" spans="7:8" ht="15.75" customHeight="1" x14ac:dyDescent="0.25">
      <c r="G391" s="115"/>
      <c r="H391" s="115"/>
    </row>
    <row r="392" spans="7:8" ht="15.75" customHeight="1" x14ac:dyDescent="0.25">
      <c r="G392" s="115"/>
      <c r="H392" s="115"/>
    </row>
    <row r="393" spans="7:8" ht="15.75" customHeight="1" x14ac:dyDescent="0.25">
      <c r="G393" s="115"/>
      <c r="H393" s="115"/>
    </row>
    <row r="394" spans="7:8" ht="15.75" customHeight="1" x14ac:dyDescent="0.25">
      <c r="G394" s="115"/>
      <c r="H394" s="115"/>
    </row>
    <row r="395" spans="7:8" ht="15.75" customHeight="1" x14ac:dyDescent="0.25">
      <c r="G395" s="115"/>
      <c r="H395" s="115"/>
    </row>
    <row r="396" spans="7:8" ht="15.75" customHeight="1" x14ac:dyDescent="0.25">
      <c r="G396" s="115"/>
      <c r="H396" s="115"/>
    </row>
    <row r="397" spans="7:8" ht="15.75" customHeight="1" x14ac:dyDescent="0.25">
      <c r="G397" s="115"/>
      <c r="H397" s="115"/>
    </row>
    <row r="398" spans="7:8" ht="15.75" customHeight="1" x14ac:dyDescent="0.25">
      <c r="G398" s="115"/>
      <c r="H398" s="115"/>
    </row>
    <row r="399" spans="7:8" ht="15.75" customHeight="1" x14ac:dyDescent="0.25">
      <c r="G399" s="115"/>
      <c r="H399" s="115"/>
    </row>
    <row r="400" spans="7:8" ht="15.75" customHeight="1" x14ac:dyDescent="0.25">
      <c r="G400" s="115"/>
      <c r="H400" s="115"/>
    </row>
    <row r="401" spans="7:8" ht="15.75" customHeight="1" x14ac:dyDescent="0.25">
      <c r="G401" s="115"/>
      <c r="H401" s="115"/>
    </row>
    <row r="402" spans="7:8" ht="15.75" customHeight="1" x14ac:dyDescent="0.25">
      <c r="G402" s="115"/>
      <c r="H402" s="115"/>
    </row>
    <row r="403" spans="7:8" ht="15.75" customHeight="1" x14ac:dyDescent="0.25">
      <c r="G403" s="115"/>
      <c r="H403" s="115"/>
    </row>
    <row r="404" spans="7:8" ht="15.75" customHeight="1" x14ac:dyDescent="0.25">
      <c r="G404" s="115"/>
      <c r="H404" s="115"/>
    </row>
    <row r="405" spans="7:8" ht="15.75" customHeight="1" x14ac:dyDescent="0.25">
      <c r="G405" s="115"/>
      <c r="H405" s="115"/>
    </row>
    <row r="406" spans="7:8" ht="15.75" customHeight="1" x14ac:dyDescent="0.25">
      <c r="G406" s="115"/>
      <c r="H406" s="115"/>
    </row>
    <row r="407" spans="7:8" ht="15.75" customHeight="1" x14ac:dyDescent="0.25">
      <c r="G407" s="115"/>
      <c r="H407" s="115"/>
    </row>
    <row r="408" spans="7:8" ht="15.75" customHeight="1" x14ac:dyDescent="0.25">
      <c r="G408" s="115"/>
      <c r="H408" s="115"/>
    </row>
    <row r="409" spans="7:8" ht="15.75" customHeight="1" x14ac:dyDescent="0.25">
      <c r="G409" s="115"/>
      <c r="H409" s="115"/>
    </row>
    <row r="410" spans="7:8" ht="15.75" customHeight="1" x14ac:dyDescent="0.25">
      <c r="G410" s="115"/>
      <c r="H410" s="115"/>
    </row>
    <row r="411" spans="7:8" ht="15.75" customHeight="1" x14ac:dyDescent="0.25">
      <c r="G411" s="115"/>
      <c r="H411" s="115"/>
    </row>
    <row r="412" spans="7:8" ht="15.75" customHeight="1" x14ac:dyDescent="0.25">
      <c r="G412" s="115"/>
      <c r="H412" s="115"/>
    </row>
    <row r="413" spans="7:8" ht="15.75" customHeight="1" x14ac:dyDescent="0.25">
      <c r="G413" s="115"/>
      <c r="H413" s="115"/>
    </row>
    <row r="414" spans="7:8" ht="15.75" customHeight="1" x14ac:dyDescent="0.25">
      <c r="G414" s="115"/>
      <c r="H414" s="115"/>
    </row>
    <row r="415" spans="7:8" ht="15.75" customHeight="1" x14ac:dyDescent="0.25">
      <c r="G415" s="115"/>
      <c r="H415" s="115"/>
    </row>
    <row r="416" spans="7:8" ht="15.75" customHeight="1" x14ac:dyDescent="0.25">
      <c r="G416" s="115"/>
      <c r="H416" s="115"/>
    </row>
    <row r="417" spans="7:8" ht="15.75" customHeight="1" x14ac:dyDescent="0.25">
      <c r="G417" s="115"/>
      <c r="H417" s="115"/>
    </row>
    <row r="418" spans="7:8" ht="15.75" customHeight="1" x14ac:dyDescent="0.25">
      <c r="G418" s="115"/>
      <c r="H418" s="115"/>
    </row>
    <row r="419" spans="7:8" ht="15.75" customHeight="1" x14ac:dyDescent="0.25">
      <c r="G419" s="115"/>
      <c r="H419" s="115"/>
    </row>
    <row r="420" spans="7:8" ht="15.75" customHeight="1" x14ac:dyDescent="0.25">
      <c r="G420" s="115"/>
      <c r="H420" s="115"/>
    </row>
    <row r="421" spans="7:8" ht="15.75" customHeight="1" x14ac:dyDescent="0.25">
      <c r="G421" s="115"/>
      <c r="H421" s="115"/>
    </row>
    <row r="422" spans="7:8" ht="15.75" customHeight="1" x14ac:dyDescent="0.25">
      <c r="G422" s="115"/>
      <c r="H422" s="115"/>
    </row>
    <row r="423" spans="7:8" ht="15.75" customHeight="1" x14ac:dyDescent="0.25">
      <c r="G423" s="115"/>
      <c r="H423" s="115"/>
    </row>
    <row r="424" spans="7:8" ht="15.75" customHeight="1" x14ac:dyDescent="0.25">
      <c r="G424" s="115"/>
      <c r="H424" s="115"/>
    </row>
    <row r="425" spans="7:8" ht="15.75" customHeight="1" x14ac:dyDescent="0.25">
      <c r="G425" s="115"/>
      <c r="H425" s="115"/>
    </row>
    <row r="426" spans="7:8" ht="15.75" customHeight="1" x14ac:dyDescent="0.25">
      <c r="G426" s="115"/>
      <c r="H426" s="115"/>
    </row>
    <row r="427" spans="7:8" ht="15.75" customHeight="1" x14ac:dyDescent="0.25">
      <c r="G427" s="115"/>
      <c r="H427" s="115"/>
    </row>
    <row r="428" spans="7:8" ht="15.75" customHeight="1" x14ac:dyDescent="0.25">
      <c r="G428" s="115"/>
      <c r="H428" s="115"/>
    </row>
    <row r="429" spans="7:8" ht="15.75" customHeight="1" x14ac:dyDescent="0.25">
      <c r="G429" s="115"/>
      <c r="H429" s="115"/>
    </row>
    <row r="430" spans="7:8" ht="15.75" customHeight="1" x14ac:dyDescent="0.25">
      <c r="G430" s="115"/>
      <c r="H430" s="115"/>
    </row>
    <row r="431" spans="7:8" ht="15.75" customHeight="1" x14ac:dyDescent="0.25">
      <c r="G431" s="115"/>
      <c r="H431" s="115"/>
    </row>
    <row r="432" spans="7:8" ht="15.75" customHeight="1" x14ac:dyDescent="0.25">
      <c r="G432" s="115"/>
      <c r="H432" s="115"/>
    </row>
    <row r="433" spans="7:8" ht="15.75" customHeight="1" x14ac:dyDescent="0.25">
      <c r="G433" s="115"/>
      <c r="H433" s="115"/>
    </row>
    <row r="434" spans="7:8" ht="15.75" customHeight="1" x14ac:dyDescent="0.25">
      <c r="G434" s="115"/>
      <c r="H434" s="115"/>
    </row>
    <row r="435" spans="7:8" ht="15.75" customHeight="1" x14ac:dyDescent="0.25">
      <c r="G435" s="115"/>
      <c r="H435" s="115"/>
    </row>
    <row r="436" spans="7:8" ht="15.75" customHeight="1" x14ac:dyDescent="0.25">
      <c r="G436" s="115"/>
      <c r="H436" s="115"/>
    </row>
    <row r="437" spans="7:8" ht="15.75" customHeight="1" x14ac:dyDescent="0.25">
      <c r="G437" s="115"/>
      <c r="H437" s="115"/>
    </row>
    <row r="438" spans="7:8" ht="15.75" customHeight="1" x14ac:dyDescent="0.25">
      <c r="G438" s="115"/>
      <c r="H438" s="115"/>
    </row>
    <row r="439" spans="7:8" ht="15.75" customHeight="1" x14ac:dyDescent="0.25">
      <c r="G439" s="115"/>
      <c r="H439" s="115"/>
    </row>
    <row r="440" spans="7:8" ht="15.75" customHeight="1" x14ac:dyDescent="0.25">
      <c r="G440" s="115"/>
      <c r="H440" s="115"/>
    </row>
    <row r="441" spans="7:8" ht="15.75" customHeight="1" x14ac:dyDescent="0.25">
      <c r="G441" s="115"/>
      <c r="H441" s="115"/>
    </row>
    <row r="442" spans="7:8" ht="15.75" customHeight="1" x14ac:dyDescent="0.25">
      <c r="G442" s="115"/>
      <c r="H442" s="115"/>
    </row>
    <row r="443" spans="7:8" ht="15.75" customHeight="1" x14ac:dyDescent="0.25">
      <c r="G443" s="115"/>
      <c r="H443" s="115"/>
    </row>
    <row r="444" spans="7:8" ht="15.75" customHeight="1" x14ac:dyDescent="0.25">
      <c r="G444" s="115"/>
      <c r="H444" s="115"/>
    </row>
    <row r="445" spans="7:8" ht="15.75" customHeight="1" x14ac:dyDescent="0.25">
      <c r="G445" s="115"/>
      <c r="H445" s="115"/>
    </row>
    <row r="446" spans="7:8" ht="15.75" customHeight="1" x14ac:dyDescent="0.25">
      <c r="G446" s="115"/>
      <c r="H446" s="115"/>
    </row>
    <row r="447" spans="7:8" ht="15.75" customHeight="1" x14ac:dyDescent="0.25">
      <c r="G447" s="115"/>
      <c r="H447" s="115"/>
    </row>
    <row r="448" spans="7:8" ht="15.75" customHeight="1" x14ac:dyDescent="0.25">
      <c r="G448" s="115"/>
      <c r="H448" s="115"/>
    </row>
    <row r="449" spans="7:8" ht="15.75" customHeight="1" x14ac:dyDescent="0.25">
      <c r="G449" s="115"/>
      <c r="H449" s="115"/>
    </row>
    <row r="450" spans="7:8" ht="15.75" customHeight="1" x14ac:dyDescent="0.25">
      <c r="G450" s="115"/>
      <c r="H450" s="115"/>
    </row>
    <row r="451" spans="7:8" ht="15.75" customHeight="1" x14ac:dyDescent="0.25">
      <c r="G451" s="115"/>
      <c r="H451" s="115"/>
    </row>
    <row r="452" spans="7:8" ht="15.75" customHeight="1" x14ac:dyDescent="0.25">
      <c r="G452" s="115"/>
      <c r="H452" s="115"/>
    </row>
    <row r="453" spans="7:8" ht="15.75" customHeight="1" x14ac:dyDescent="0.25">
      <c r="G453" s="115"/>
      <c r="H453" s="115"/>
    </row>
    <row r="454" spans="7:8" ht="15.75" customHeight="1" x14ac:dyDescent="0.25">
      <c r="G454" s="115"/>
      <c r="H454" s="115"/>
    </row>
    <row r="455" spans="7:8" ht="15.75" customHeight="1" x14ac:dyDescent="0.25">
      <c r="G455" s="115"/>
      <c r="H455" s="115"/>
    </row>
    <row r="456" spans="7:8" ht="15.75" customHeight="1" x14ac:dyDescent="0.25">
      <c r="G456" s="115"/>
      <c r="H456" s="115"/>
    </row>
    <row r="457" spans="7:8" ht="15.75" customHeight="1" x14ac:dyDescent="0.25">
      <c r="G457" s="115"/>
      <c r="H457" s="115"/>
    </row>
    <row r="458" spans="7:8" ht="15.75" customHeight="1" x14ac:dyDescent="0.25">
      <c r="G458" s="115"/>
      <c r="H458" s="115"/>
    </row>
    <row r="459" spans="7:8" ht="15.75" customHeight="1" x14ac:dyDescent="0.25">
      <c r="G459" s="115"/>
      <c r="H459" s="115"/>
    </row>
    <row r="460" spans="7:8" ht="15.75" customHeight="1" x14ac:dyDescent="0.25">
      <c r="G460" s="115"/>
      <c r="H460" s="115"/>
    </row>
    <row r="461" spans="7:8" ht="15.75" customHeight="1" x14ac:dyDescent="0.25">
      <c r="G461" s="115"/>
      <c r="H461" s="115"/>
    </row>
    <row r="462" spans="7:8" ht="15.75" customHeight="1" x14ac:dyDescent="0.25">
      <c r="G462" s="115"/>
      <c r="H462" s="115"/>
    </row>
    <row r="463" spans="7:8" ht="15.75" customHeight="1" x14ac:dyDescent="0.25">
      <c r="G463" s="115"/>
      <c r="H463" s="115"/>
    </row>
    <row r="464" spans="7:8" ht="15.75" customHeight="1" x14ac:dyDescent="0.25">
      <c r="G464" s="115"/>
      <c r="H464" s="115"/>
    </row>
    <row r="465" spans="7:8" ht="15.75" customHeight="1" x14ac:dyDescent="0.25">
      <c r="G465" s="115"/>
      <c r="H465" s="115"/>
    </row>
    <row r="466" spans="7:8" ht="15.75" customHeight="1" x14ac:dyDescent="0.25">
      <c r="G466" s="115"/>
      <c r="H466" s="115"/>
    </row>
    <row r="467" spans="7:8" ht="15.75" customHeight="1" x14ac:dyDescent="0.25">
      <c r="G467" s="115"/>
      <c r="H467" s="115"/>
    </row>
    <row r="468" spans="7:8" ht="15.75" customHeight="1" x14ac:dyDescent="0.25">
      <c r="G468" s="115"/>
      <c r="H468" s="115"/>
    </row>
    <row r="469" spans="7:8" ht="15.75" customHeight="1" x14ac:dyDescent="0.25">
      <c r="G469" s="115"/>
      <c r="H469" s="115"/>
    </row>
    <row r="470" spans="7:8" ht="15.75" customHeight="1" x14ac:dyDescent="0.25">
      <c r="G470" s="115"/>
      <c r="H470" s="115"/>
    </row>
    <row r="471" spans="7:8" ht="15.75" customHeight="1" x14ac:dyDescent="0.25">
      <c r="G471" s="115"/>
      <c r="H471" s="115"/>
    </row>
    <row r="472" spans="7:8" ht="15.75" customHeight="1" x14ac:dyDescent="0.25">
      <c r="G472" s="115"/>
      <c r="H472" s="115"/>
    </row>
    <row r="473" spans="7:8" ht="15.75" customHeight="1" x14ac:dyDescent="0.25">
      <c r="G473" s="115"/>
      <c r="H473" s="115"/>
    </row>
    <row r="474" spans="7:8" ht="15.75" customHeight="1" x14ac:dyDescent="0.25">
      <c r="G474" s="115"/>
      <c r="H474" s="115"/>
    </row>
    <row r="475" spans="7:8" ht="15.75" customHeight="1" x14ac:dyDescent="0.25">
      <c r="G475" s="115"/>
      <c r="H475" s="115"/>
    </row>
    <row r="476" spans="7:8" ht="15.75" customHeight="1" x14ac:dyDescent="0.25">
      <c r="G476" s="115"/>
      <c r="H476" s="115"/>
    </row>
    <row r="477" spans="7:8" ht="15.75" customHeight="1" x14ac:dyDescent="0.25">
      <c r="G477" s="115"/>
      <c r="H477" s="115"/>
    </row>
    <row r="478" spans="7:8" ht="15.75" customHeight="1" x14ac:dyDescent="0.25">
      <c r="G478" s="115"/>
      <c r="H478" s="115"/>
    </row>
    <row r="479" spans="7:8" ht="15.75" customHeight="1" x14ac:dyDescent="0.25">
      <c r="G479" s="115"/>
      <c r="H479" s="115"/>
    </row>
    <row r="480" spans="7:8" ht="15.75" customHeight="1" x14ac:dyDescent="0.25">
      <c r="G480" s="115"/>
      <c r="H480" s="115"/>
    </row>
    <row r="481" spans="7:8" ht="15.75" customHeight="1" x14ac:dyDescent="0.25">
      <c r="G481" s="115"/>
      <c r="H481" s="115"/>
    </row>
    <row r="482" spans="7:8" ht="15.75" customHeight="1" x14ac:dyDescent="0.25">
      <c r="G482" s="115"/>
      <c r="H482" s="115"/>
    </row>
    <row r="483" spans="7:8" ht="15.75" customHeight="1" x14ac:dyDescent="0.25">
      <c r="G483" s="115"/>
      <c r="H483" s="115"/>
    </row>
    <row r="484" spans="7:8" ht="15.75" customHeight="1" x14ac:dyDescent="0.25">
      <c r="G484" s="115"/>
      <c r="H484" s="115"/>
    </row>
    <row r="485" spans="7:8" ht="15.75" customHeight="1" x14ac:dyDescent="0.25">
      <c r="G485" s="115"/>
      <c r="H485" s="115"/>
    </row>
    <row r="486" spans="7:8" ht="15.75" customHeight="1" x14ac:dyDescent="0.25">
      <c r="G486" s="115"/>
      <c r="H486" s="115"/>
    </row>
    <row r="487" spans="7:8" ht="15.75" customHeight="1" x14ac:dyDescent="0.25">
      <c r="G487" s="115"/>
      <c r="H487" s="115"/>
    </row>
    <row r="488" spans="7:8" ht="15.75" customHeight="1" x14ac:dyDescent="0.25">
      <c r="G488" s="115"/>
      <c r="H488" s="115"/>
    </row>
    <row r="489" spans="7:8" ht="15.75" customHeight="1" x14ac:dyDescent="0.25">
      <c r="G489" s="115"/>
      <c r="H489" s="115"/>
    </row>
    <row r="490" spans="7:8" ht="15.75" customHeight="1" x14ac:dyDescent="0.25">
      <c r="G490" s="115"/>
      <c r="H490" s="115"/>
    </row>
    <row r="491" spans="7:8" ht="15.75" customHeight="1" x14ac:dyDescent="0.25">
      <c r="G491" s="115"/>
      <c r="H491" s="115"/>
    </row>
    <row r="492" spans="7:8" ht="15.75" customHeight="1" x14ac:dyDescent="0.25">
      <c r="G492" s="115"/>
      <c r="H492" s="115"/>
    </row>
    <row r="493" spans="7:8" ht="15.75" customHeight="1" x14ac:dyDescent="0.25">
      <c r="G493" s="115"/>
      <c r="H493" s="115"/>
    </row>
    <row r="494" spans="7:8" ht="15.75" customHeight="1" x14ac:dyDescent="0.25">
      <c r="G494" s="115"/>
      <c r="H494" s="115"/>
    </row>
    <row r="495" spans="7:8" ht="15.75" customHeight="1" x14ac:dyDescent="0.25">
      <c r="G495" s="115"/>
      <c r="H495" s="115"/>
    </row>
    <row r="496" spans="7:8" ht="15.75" customHeight="1" x14ac:dyDescent="0.25">
      <c r="G496" s="115"/>
      <c r="H496" s="115"/>
    </row>
    <row r="497" spans="7:8" ht="15.75" customHeight="1" x14ac:dyDescent="0.25">
      <c r="G497" s="115"/>
      <c r="H497" s="115"/>
    </row>
    <row r="498" spans="7:8" ht="15.75" customHeight="1" x14ac:dyDescent="0.25">
      <c r="G498" s="115"/>
      <c r="H498" s="115"/>
    </row>
    <row r="499" spans="7:8" ht="15.75" customHeight="1" x14ac:dyDescent="0.25">
      <c r="G499" s="115"/>
      <c r="H499" s="115"/>
    </row>
    <row r="500" spans="7:8" ht="15.75" customHeight="1" x14ac:dyDescent="0.25">
      <c r="G500" s="115"/>
      <c r="H500" s="115"/>
    </row>
    <row r="501" spans="7:8" ht="15.75" customHeight="1" x14ac:dyDescent="0.25">
      <c r="G501" s="115"/>
      <c r="H501" s="115"/>
    </row>
    <row r="502" spans="7:8" ht="15.75" customHeight="1" x14ac:dyDescent="0.25">
      <c r="G502" s="115"/>
      <c r="H502" s="115"/>
    </row>
    <row r="503" spans="7:8" ht="15.75" customHeight="1" x14ac:dyDescent="0.25">
      <c r="G503" s="115"/>
      <c r="H503" s="115"/>
    </row>
    <row r="504" spans="7:8" ht="15.75" customHeight="1" x14ac:dyDescent="0.25">
      <c r="G504" s="115"/>
      <c r="H504" s="115"/>
    </row>
    <row r="505" spans="7:8" ht="15.75" customHeight="1" x14ac:dyDescent="0.25">
      <c r="G505" s="115"/>
      <c r="H505" s="115"/>
    </row>
    <row r="506" spans="7:8" ht="15.75" customHeight="1" x14ac:dyDescent="0.25">
      <c r="G506" s="115"/>
      <c r="H506" s="115"/>
    </row>
    <row r="507" spans="7:8" ht="15.75" customHeight="1" x14ac:dyDescent="0.25">
      <c r="G507" s="115"/>
      <c r="H507" s="115"/>
    </row>
    <row r="508" spans="7:8" ht="15.75" customHeight="1" x14ac:dyDescent="0.25">
      <c r="G508" s="115"/>
      <c r="H508" s="115"/>
    </row>
    <row r="509" spans="7:8" ht="15.75" customHeight="1" x14ac:dyDescent="0.25">
      <c r="G509" s="115"/>
      <c r="H509" s="115"/>
    </row>
    <row r="510" spans="7:8" ht="15.75" customHeight="1" x14ac:dyDescent="0.25">
      <c r="G510" s="115"/>
      <c r="H510" s="115"/>
    </row>
    <row r="511" spans="7:8" ht="15.75" customHeight="1" x14ac:dyDescent="0.25">
      <c r="G511" s="115"/>
      <c r="H511" s="115"/>
    </row>
    <row r="512" spans="7:8" ht="15.75" customHeight="1" x14ac:dyDescent="0.25">
      <c r="G512" s="115"/>
      <c r="H512" s="115"/>
    </row>
    <row r="513" spans="7:8" ht="15.75" customHeight="1" x14ac:dyDescent="0.25">
      <c r="G513" s="115"/>
      <c r="H513" s="115"/>
    </row>
    <row r="514" spans="7:8" ht="15.75" customHeight="1" x14ac:dyDescent="0.25">
      <c r="G514" s="115"/>
      <c r="H514" s="115"/>
    </row>
    <row r="515" spans="7:8" ht="15.75" customHeight="1" x14ac:dyDescent="0.25">
      <c r="G515" s="115"/>
      <c r="H515" s="115"/>
    </row>
    <row r="516" spans="7:8" ht="15.75" customHeight="1" x14ac:dyDescent="0.25">
      <c r="G516" s="115"/>
      <c r="H516" s="115"/>
    </row>
    <row r="517" spans="7:8" ht="15.75" customHeight="1" x14ac:dyDescent="0.25">
      <c r="G517" s="115"/>
      <c r="H517" s="115"/>
    </row>
    <row r="518" spans="7:8" ht="15.75" customHeight="1" x14ac:dyDescent="0.25">
      <c r="G518" s="115"/>
      <c r="H518" s="115"/>
    </row>
    <row r="519" spans="7:8" ht="15.75" customHeight="1" x14ac:dyDescent="0.25">
      <c r="G519" s="115"/>
      <c r="H519" s="115"/>
    </row>
    <row r="520" spans="7:8" ht="15.75" customHeight="1" x14ac:dyDescent="0.25">
      <c r="G520" s="115"/>
      <c r="H520" s="115"/>
    </row>
    <row r="521" spans="7:8" ht="15.75" customHeight="1" x14ac:dyDescent="0.25">
      <c r="G521" s="115"/>
      <c r="H521" s="115"/>
    </row>
    <row r="522" spans="7:8" ht="15.75" customHeight="1" x14ac:dyDescent="0.25">
      <c r="G522" s="115"/>
      <c r="H522" s="115"/>
    </row>
    <row r="523" spans="7:8" ht="15.75" customHeight="1" x14ac:dyDescent="0.25">
      <c r="G523" s="115"/>
      <c r="H523" s="115"/>
    </row>
    <row r="524" spans="7:8" ht="15.75" customHeight="1" x14ac:dyDescent="0.25">
      <c r="G524" s="115"/>
      <c r="H524" s="115"/>
    </row>
    <row r="525" spans="7:8" ht="15.75" customHeight="1" x14ac:dyDescent="0.25">
      <c r="G525" s="115"/>
      <c r="H525" s="115"/>
    </row>
    <row r="526" spans="7:8" ht="15.75" customHeight="1" x14ac:dyDescent="0.25">
      <c r="G526" s="115"/>
      <c r="H526" s="115"/>
    </row>
    <row r="527" spans="7:8" ht="15.75" customHeight="1" x14ac:dyDescent="0.25">
      <c r="G527" s="115"/>
      <c r="H527" s="115"/>
    </row>
    <row r="528" spans="7:8" ht="15.75" customHeight="1" x14ac:dyDescent="0.25">
      <c r="G528" s="115"/>
      <c r="H528" s="115"/>
    </row>
    <row r="529" spans="7:8" ht="15.75" customHeight="1" x14ac:dyDescent="0.25">
      <c r="G529" s="115"/>
      <c r="H529" s="115"/>
    </row>
    <row r="530" spans="7:8" ht="15.75" customHeight="1" x14ac:dyDescent="0.25">
      <c r="G530" s="115"/>
      <c r="H530" s="115"/>
    </row>
    <row r="531" spans="7:8" ht="15.75" customHeight="1" x14ac:dyDescent="0.25">
      <c r="G531" s="115"/>
      <c r="H531" s="115"/>
    </row>
    <row r="532" spans="7:8" ht="15.75" customHeight="1" x14ac:dyDescent="0.25">
      <c r="G532" s="115"/>
      <c r="H532" s="115"/>
    </row>
    <row r="533" spans="7:8" ht="15.75" customHeight="1" x14ac:dyDescent="0.25">
      <c r="G533" s="115"/>
      <c r="H533" s="115"/>
    </row>
    <row r="534" spans="7:8" ht="15.75" customHeight="1" x14ac:dyDescent="0.25">
      <c r="G534" s="115"/>
      <c r="H534" s="115"/>
    </row>
    <row r="535" spans="7:8" ht="15.75" customHeight="1" x14ac:dyDescent="0.25">
      <c r="G535" s="115"/>
      <c r="H535" s="115"/>
    </row>
    <row r="536" spans="7:8" ht="15.75" customHeight="1" x14ac:dyDescent="0.25">
      <c r="G536" s="115"/>
      <c r="H536" s="115"/>
    </row>
    <row r="537" spans="7:8" ht="15.75" customHeight="1" x14ac:dyDescent="0.25">
      <c r="G537" s="115"/>
      <c r="H537" s="115"/>
    </row>
    <row r="538" spans="7:8" ht="15.75" customHeight="1" x14ac:dyDescent="0.25">
      <c r="G538" s="115"/>
      <c r="H538" s="115"/>
    </row>
    <row r="539" spans="7:8" ht="15.75" customHeight="1" x14ac:dyDescent="0.25">
      <c r="G539" s="115"/>
      <c r="H539" s="115"/>
    </row>
    <row r="540" spans="7:8" ht="15.75" customHeight="1" x14ac:dyDescent="0.25">
      <c r="G540" s="115"/>
      <c r="H540" s="115"/>
    </row>
    <row r="541" spans="7:8" ht="15.75" customHeight="1" x14ac:dyDescent="0.25">
      <c r="G541" s="115"/>
      <c r="H541" s="115"/>
    </row>
    <row r="542" spans="7:8" ht="15.75" customHeight="1" x14ac:dyDescent="0.25">
      <c r="G542" s="115"/>
      <c r="H542" s="115"/>
    </row>
    <row r="543" spans="7:8" ht="15.75" customHeight="1" x14ac:dyDescent="0.25">
      <c r="G543" s="115"/>
      <c r="H543" s="115"/>
    </row>
    <row r="544" spans="7:8" ht="15.75" customHeight="1" x14ac:dyDescent="0.25">
      <c r="G544" s="115"/>
      <c r="H544" s="115"/>
    </row>
    <row r="545" spans="7:8" ht="15.75" customHeight="1" x14ac:dyDescent="0.25">
      <c r="G545" s="115"/>
      <c r="H545" s="115"/>
    </row>
    <row r="546" spans="7:8" ht="15.75" customHeight="1" x14ac:dyDescent="0.25">
      <c r="G546" s="115"/>
      <c r="H546" s="115"/>
    </row>
    <row r="547" spans="7:8" ht="15.75" customHeight="1" x14ac:dyDescent="0.25">
      <c r="G547" s="115"/>
      <c r="H547" s="115"/>
    </row>
    <row r="548" spans="7:8" ht="15.75" customHeight="1" x14ac:dyDescent="0.25">
      <c r="G548" s="115"/>
      <c r="H548" s="115"/>
    </row>
    <row r="549" spans="7:8" ht="15.75" customHeight="1" x14ac:dyDescent="0.25">
      <c r="G549" s="115"/>
      <c r="H549" s="115"/>
    </row>
    <row r="550" spans="7:8" ht="15.75" customHeight="1" x14ac:dyDescent="0.25">
      <c r="G550" s="115"/>
      <c r="H550" s="115"/>
    </row>
    <row r="551" spans="7:8" ht="15.75" customHeight="1" x14ac:dyDescent="0.25">
      <c r="G551" s="115"/>
      <c r="H551" s="115"/>
    </row>
    <row r="552" spans="7:8" ht="15.75" customHeight="1" x14ac:dyDescent="0.25">
      <c r="G552" s="115"/>
      <c r="H552" s="115"/>
    </row>
    <row r="553" spans="7:8" ht="15.75" customHeight="1" x14ac:dyDescent="0.25">
      <c r="G553" s="115"/>
      <c r="H553" s="115"/>
    </row>
    <row r="554" spans="7:8" ht="15.75" customHeight="1" x14ac:dyDescent="0.25">
      <c r="G554" s="115"/>
      <c r="H554" s="115"/>
    </row>
    <row r="555" spans="7:8" ht="15.75" customHeight="1" x14ac:dyDescent="0.25">
      <c r="G555" s="115"/>
      <c r="H555" s="115"/>
    </row>
    <row r="556" spans="7:8" ht="15.75" customHeight="1" x14ac:dyDescent="0.25">
      <c r="G556" s="115"/>
      <c r="H556" s="115"/>
    </row>
    <row r="557" spans="7:8" ht="15.75" customHeight="1" x14ac:dyDescent="0.25">
      <c r="G557" s="115"/>
      <c r="H557" s="115"/>
    </row>
    <row r="558" spans="7:8" ht="15.75" customHeight="1" x14ac:dyDescent="0.25">
      <c r="G558" s="115"/>
      <c r="H558" s="115"/>
    </row>
    <row r="559" spans="7:8" ht="15.75" customHeight="1" x14ac:dyDescent="0.25">
      <c r="G559" s="115"/>
      <c r="H559" s="115"/>
    </row>
    <row r="560" spans="7:8" ht="15.75" customHeight="1" x14ac:dyDescent="0.25">
      <c r="G560" s="115"/>
      <c r="H560" s="115"/>
    </row>
    <row r="561" spans="7:8" ht="15.75" customHeight="1" x14ac:dyDescent="0.25">
      <c r="G561" s="115"/>
      <c r="H561" s="115"/>
    </row>
    <row r="562" spans="7:8" ht="15.75" customHeight="1" x14ac:dyDescent="0.25">
      <c r="G562" s="115"/>
      <c r="H562" s="115"/>
    </row>
    <row r="563" spans="7:8" ht="15.75" customHeight="1" x14ac:dyDescent="0.25">
      <c r="G563" s="115"/>
      <c r="H563" s="115"/>
    </row>
    <row r="564" spans="7:8" ht="15.75" customHeight="1" x14ac:dyDescent="0.25">
      <c r="G564" s="115"/>
      <c r="H564" s="115"/>
    </row>
    <row r="565" spans="7:8" ht="15.75" customHeight="1" x14ac:dyDescent="0.25">
      <c r="G565" s="115"/>
      <c r="H565" s="115"/>
    </row>
    <row r="566" spans="7:8" ht="15.75" customHeight="1" x14ac:dyDescent="0.25">
      <c r="G566" s="115"/>
      <c r="H566" s="115"/>
    </row>
    <row r="567" spans="7:8" ht="15.75" customHeight="1" x14ac:dyDescent="0.25">
      <c r="G567" s="115"/>
      <c r="H567" s="115"/>
    </row>
    <row r="568" spans="7:8" ht="15.75" customHeight="1" x14ac:dyDescent="0.25">
      <c r="G568" s="115"/>
      <c r="H568" s="115"/>
    </row>
    <row r="569" spans="7:8" ht="15.75" customHeight="1" x14ac:dyDescent="0.25">
      <c r="G569" s="115"/>
      <c r="H569" s="115"/>
    </row>
    <row r="570" spans="7:8" ht="15.75" customHeight="1" x14ac:dyDescent="0.25">
      <c r="G570" s="115"/>
      <c r="H570" s="115"/>
    </row>
    <row r="571" spans="7:8" ht="15.75" customHeight="1" x14ac:dyDescent="0.25">
      <c r="G571" s="115"/>
      <c r="H571" s="115"/>
    </row>
    <row r="572" spans="7:8" ht="15.75" customHeight="1" x14ac:dyDescent="0.25">
      <c r="G572" s="115"/>
      <c r="H572" s="115"/>
    </row>
    <row r="573" spans="7:8" ht="15.75" customHeight="1" x14ac:dyDescent="0.25">
      <c r="G573" s="115"/>
      <c r="H573" s="115"/>
    </row>
    <row r="574" spans="7:8" ht="15.75" customHeight="1" x14ac:dyDescent="0.25">
      <c r="G574" s="115"/>
      <c r="H574" s="115"/>
    </row>
    <row r="575" spans="7:8" ht="15.75" customHeight="1" x14ac:dyDescent="0.25">
      <c r="G575" s="115"/>
      <c r="H575" s="115"/>
    </row>
    <row r="576" spans="7:8" ht="15.75" customHeight="1" x14ac:dyDescent="0.25">
      <c r="G576" s="115"/>
      <c r="H576" s="115"/>
    </row>
    <row r="577" spans="7:8" ht="15.75" customHeight="1" x14ac:dyDescent="0.25">
      <c r="G577" s="115"/>
      <c r="H577" s="115"/>
    </row>
    <row r="578" spans="7:8" ht="15.75" customHeight="1" x14ac:dyDescent="0.25">
      <c r="G578" s="115"/>
      <c r="H578" s="115"/>
    </row>
    <row r="579" spans="7:8" ht="15.75" customHeight="1" x14ac:dyDescent="0.25">
      <c r="G579" s="115"/>
      <c r="H579" s="115"/>
    </row>
    <row r="580" spans="7:8" ht="15.75" customHeight="1" x14ac:dyDescent="0.25">
      <c r="G580" s="115"/>
      <c r="H580" s="115"/>
    </row>
    <row r="581" spans="7:8" ht="15.75" customHeight="1" x14ac:dyDescent="0.25">
      <c r="G581" s="115"/>
      <c r="H581" s="115"/>
    </row>
    <row r="582" spans="7:8" ht="15.75" customHeight="1" x14ac:dyDescent="0.25">
      <c r="G582" s="115"/>
      <c r="H582" s="115"/>
    </row>
    <row r="583" spans="7:8" ht="15.75" customHeight="1" x14ac:dyDescent="0.25">
      <c r="G583" s="115"/>
      <c r="H583" s="115"/>
    </row>
    <row r="584" spans="7:8" ht="15.75" customHeight="1" x14ac:dyDescent="0.25">
      <c r="G584" s="115"/>
      <c r="H584" s="115"/>
    </row>
    <row r="585" spans="7:8" ht="15.75" customHeight="1" x14ac:dyDescent="0.25">
      <c r="G585" s="115"/>
      <c r="H585" s="115"/>
    </row>
    <row r="586" spans="7:8" ht="15.75" customHeight="1" x14ac:dyDescent="0.25">
      <c r="G586" s="115"/>
      <c r="H586" s="115"/>
    </row>
    <row r="587" spans="7:8" ht="15.75" customHeight="1" x14ac:dyDescent="0.25">
      <c r="G587" s="115"/>
      <c r="H587" s="115"/>
    </row>
    <row r="588" spans="7:8" ht="15.75" customHeight="1" x14ac:dyDescent="0.25">
      <c r="G588" s="115"/>
      <c r="H588" s="115"/>
    </row>
    <row r="589" spans="7:8" ht="15.75" customHeight="1" x14ac:dyDescent="0.25">
      <c r="G589" s="115"/>
      <c r="H589" s="115"/>
    </row>
    <row r="590" spans="7:8" ht="15.75" customHeight="1" x14ac:dyDescent="0.25">
      <c r="G590" s="115"/>
      <c r="H590" s="115"/>
    </row>
    <row r="591" spans="7:8" ht="15.75" customHeight="1" x14ac:dyDescent="0.25">
      <c r="G591" s="115"/>
      <c r="H591" s="115"/>
    </row>
    <row r="592" spans="7:8" ht="15.75" customHeight="1" x14ac:dyDescent="0.25">
      <c r="G592" s="115"/>
      <c r="H592" s="115"/>
    </row>
    <row r="593" spans="7:8" ht="15.75" customHeight="1" x14ac:dyDescent="0.25">
      <c r="G593" s="115"/>
      <c r="H593" s="115"/>
    </row>
    <row r="594" spans="7:8" ht="15.75" customHeight="1" x14ac:dyDescent="0.25">
      <c r="G594" s="115"/>
      <c r="H594" s="115"/>
    </row>
    <row r="595" spans="7:8" ht="15.75" customHeight="1" x14ac:dyDescent="0.25">
      <c r="G595" s="115"/>
      <c r="H595" s="115"/>
    </row>
    <row r="596" spans="7:8" ht="15.75" customHeight="1" x14ac:dyDescent="0.25">
      <c r="G596" s="115"/>
      <c r="H596" s="115"/>
    </row>
    <row r="597" spans="7:8" ht="15.75" customHeight="1" x14ac:dyDescent="0.25">
      <c r="G597" s="115"/>
      <c r="H597" s="115"/>
    </row>
    <row r="598" spans="7:8" ht="15.75" customHeight="1" x14ac:dyDescent="0.25">
      <c r="G598" s="115"/>
      <c r="H598" s="115"/>
    </row>
    <row r="599" spans="7:8" ht="15.75" customHeight="1" x14ac:dyDescent="0.25">
      <c r="G599" s="115"/>
      <c r="H599" s="115"/>
    </row>
    <row r="600" spans="7:8" ht="15.75" customHeight="1" x14ac:dyDescent="0.25">
      <c r="G600" s="115"/>
      <c r="H600" s="115"/>
    </row>
    <row r="601" spans="7:8" ht="15.75" customHeight="1" x14ac:dyDescent="0.25">
      <c r="G601" s="115"/>
      <c r="H601" s="115"/>
    </row>
    <row r="602" spans="7:8" ht="15.75" customHeight="1" x14ac:dyDescent="0.25">
      <c r="G602" s="115"/>
      <c r="H602" s="115"/>
    </row>
    <row r="603" spans="7:8" ht="15.75" customHeight="1" x14ac:dyDescent="0.25">
      <c r="G603" s="115"/>
      <c r="H603" s="115"/>
    </row>
    <row r="604" spans="7:8" ht="15.75" customHeight="1" x14ac:dyDescent="0.25">
      <c r="G604" s="115"/>
      <c r="H604" s="115"/>
    </row>
    <row r="605" spans="7:8" ht="15.75" customHeight="1" x14ac:dyDescent="0.25">
      <c r="G605" s="115"/>
      <c r="H605" s="115"/>
    </row>
    <row r="606" spans="7:8" ht="15.75" customHeight="1" x14ac:dyDescent="0.25">
      <c r="G606" s="115"/>
      <c r="H606" s="115"/>
    </row>
    <row r="607" spans="7:8" ht="15.75" customHeight="1" x14ac:dyDescent="0.25">
      <c r="G607" s="115"/>
      <c r="H607" s="115"/>
    </row>
    <row r="608" spans="7:8" ht="15.75" customHeight="1" x14ac:dyDescent="0.25">
      <c r="G608" s="115"/>
      <c r="H608" s="115"/>
    </row>
    <row r="609" spans="7:8" ht="15.75" customHeight="1" x14ac:dyDescent="0.25">
      <c r="G609" s="115"/>
      <c r="H609" s="115"/>
    </row>
    <row r="610" spans="7:8" ht="15.75" customHeight="1" x14ac:dyDescent="0.25">
      <c r="G610" s="115"/>
      <c r="H610" s="115"/>
    </row>
    <row r="611" spans="7:8" ht="15.75" customHeight="1" x14ac:dyDescent="0.25">
      <c r="G611" s="115"/>
      <c r="H611" s="115"/>
    </row>
    <row r="612" spans="7:8" ht="15.75" customHeight="1" x14ac:dyDescent="0.25">
      <c r="G612" s="115"/>
      <c r="H612" s="115"/>
    </row>
    <row r="613" spans="7:8" ht="15.75" customHeight="1" x14ac:dyDescent="0.25">
      <c r="G613" s="115"/>
      <c r="H613" s="115"/>
    </row>
    <row r="614" spans="7:8" ht="15.75" customHeight="1" x14ac:dyDescent="0.25">
      <c r="G614" s="115"/>
      <c r="H614" s="115"/>
    </row>
    <row r="615" spans="7:8" ht="15.75" customHeight="1" x14ac:dyDescent="0.25">
      <c r="G615" s="115"/>
      <c r="H615" s="115"/>
    </row>
    <row r="616" spans="7:8" ht="15.75" customHeight="1" x14ac:dyDescent="0.25">
      <c r="G616" s="115"/>
      <c r="H616" s="115"/>
    </row>
    <row r="617" spans="7:8" ht="15.75" customHeight="1" x14ac:dyDescent="0.25">
      <c r="G617" s="115"/>
      <c r="H617" s="115"/>
    </row>
    <row r="618" spans="7:8" ht="15.75" customHeight="1" x14ac:dyDescent="0.25">
      <c r="G618" s="115"/>
      <c r="H618" s="115"/>
    </row>
    <row r="619" spans="7:8" ht="15.75" customHeight="1" x14ac:dyDescent="0.25">
      <c r="G619" s="115"/>
      <c r="H619" s="115"/>
    </row>
    <row r="620" spans="7:8" ht="15.75" customHeight="1" x14ac:dyDescent="0.25">
      <c r="G620" s="115"/>
      <c r="H620" s="115"/>
    </row>
    <row r="621" spans="7:8" ht="15.75" customHeight="1" x14ac:dyDescent="0.25">
      <c r="G621" s="115"/>
      <c r="H621" s="115"/>
    </row>
    <row r="622" spans="7:8" ht="15.75" customHeight="1" x14ac:dyDescent="0.25">
      <c r="G622" s="115"/>
      <c r="H622" s="115"/>
    </row>
    <row r="623" spans="7:8" ht="15.75" customHeight="1" x14ac:dyDescent="0.25">
      <c r="G623" s="115"/>
      <c r="H623" s="115"/>
    </row>
    <row r="624" spans="7:8" ht="15.75" customHeight="1" x14ac:dyDescent="0.25">
      <c r="G624" s="115"/>
      <c r="H624" s="115"/>
    </row>
    <row r="625" spans="7:8" ht="15.75" customHeight="1" x14ac:dyDescent="0.25">
      <c r="G625" s="115"/>
      <c r="H625" s="115"/>
    </row>
    <row r="626" spans="7:8" ht="15.75" customHeight="1" x14ac:dyDescent="0.25">
      <c r="G626" s="115"/>
      <c r="H626" s="115"/>
    </row>
    <row r="627" spans="7:8" ht="15.75" customHeight="1" x14ac:dyDescent="0.25">
      <c r="G627" s="115"/>
      <c r="H627" s="115"/>
    </row>
    <row r="628" spans="7:8" ht="15.75" customHeight="1" x14ac:dyDescent="0.25">
      <c r="G628" s="115"/>
      <c r="H628" s="115"/>
    </row>
    <row r="629" spans="7:8" ht="15.75" customHeight="1" x14ac:dyDescent="0.25">
      <c r="G629" s="115"/>
      <c r="H629" s="115"/>
    </row>
    <row r="630" spans="7:8" ht="15.75" customHeight="1" x14ac:dyDescent="0.25">
      <c r="G630" s="115"/>
      <c r="H630" s="115"/>
    </row>
    <row r="631" spans="7:8" ht="15.75" customHeight="1" x14ac:dyDescent="0.25">
      <c r="G631" s="115"/>
      <c r="H631" s="115"/>
    </row>
    <row r="632" spans="7:8" ht="15.75" customHeight="1" x14ac:dyDescent="0.25">
      <c r="G632" s="115"/>
      <c r="H632" s="115"/>
    </row>
    <row r="633" spans="7:8" ht="15.75" customHeight="1" x14ac:dyDescent="0.25">
      <c r="G633" s="115"/>
      <c r="H633" s="115"/>
    </row>
    <row r="634" spans="7:8" ht="15.75" customHeight="1" x14ac:dyDescent="0.25">
      <c r="G634" s="115"/>
      <c r="H634" s="115"/>
    </row>
    <row r="635" spans="7:8" ht="15.75" customHeight="1" x14ac:dyDescent="0.25">
      <c r="G635" s="115"/>
      <c r="H635" s="115"/>
    </row>
    <row r="636" spans="7:8" ht="15.75" customHeight="1" x14ac:dyDescent="0.25">
      <c r="G636" s="115"/>
      <c r="H636" s="115"/>
    </row>
    <row r="637" spans="7:8" ht="15.75" customHeight="1" x14ac:dyDescent="0.25">
      <c r="G637" s="115"/>
      <c r="H637" s="115"/>
    </row>
    <row r="638" spans="7:8" ht="15.75" customHeight="1" x14ac:dyDescent="0.25">
      <c r="G638" s="115"/>
      <c r="H638" s="115"/>
    </row>
    <row r="639" spans="7:8" ht="15.75" customHeight="1" x14ac:dyDescent="0.25">
      <c r="G639" s="115"/>
      <c r="H639" s="115"/>
    </row>
    <row r="640" spans="7:8" ht="15.75" customHeight="1" x14ac:dyDescent="0.25">
      <c r="G640" s="115"/>
      <c r="H640" s="115"/>
    </row>
    <row r="641" spans="7:8" ht="15.75" customHeight="1" x14ac:dyDescent="0.25">
      <c r="G641" s="115"/>
      <c r="H641" s="115"/>
    </row>
    <row r="642" spans="7:8" ht="15.75" customHeight="1" x14ac:dyDescent="0.25">
      <c r="G642" s="115"/>
      <c r="H642" s="115"/>
    </row>
    <row r="643" spans="7:8" ht="15.75" customHeight="1" x14ac:dyDescent="0.25">
      <c r="G643" s="115"/>
      <c r="H643" s="115"/>
    </row>
    <row r="644" spans="7:8" ht="15.75" customHeight="1" x14ac:dyDescent="0.25">
      <c r="G644" s="115"/>
      <c r="H644" s="115"/>
    </row>
    <row r="645" spans="7:8" ht="15.75" customHeight="1" x14ac:dyDescent="0.25">
      <c r="G645" s="115"/>
      <c r="H645" s="115"/>
    </row>
    <row r="646" spans="7:8" ht="15.75" customHeight="1" x14ac:dyDescent="0.25">
      <c r="G646" s="115"/>
      <c r="H646" s="115"/>
    </row>
    <row r="647" spans="7:8" ht="15.75" customHeight="1" x14ac:dyDescent="0.25">
      <c r="G647" s="115"/>
      <c r="H647" s="115"/>
    </row>
    <row r="648" spans="7:8" ht="15.75" customHeight="1" x14ac:dyDescent="0.25">
      <c r="G648" s="115"/>
      <c r="H648" s="115"/>
    </row>
    <row r="649" spans="7:8" ht="15.75" customHeight="1" x14ac:dyDescent="0.25">
      <c r="G649" s="115"/>
      <c r="H649" s="115"/>
    </row>
    <row r="650" spans="7:8" ht="15.75" customHeight="1" x14ac:dyDescent="0.25">
      <c r="G650" s="115"/>
      <c r="H650" s="115"/>
    </row>
    <row r="651" spans="7:8" ht="15.75" customHeight="1" x14ac:dyDescent="0.25">
      <c r="G651" s="115"/>
      <c r="H651" s="115"/>
    </row>
    <row r="652" spans="7:8" ht="15.75" customHeight="1" x14ac:dyDescent="0.25">
      <c r="G652" s="115"/>
      <c r="H652" s="115"/>
    </row>
    <row r="653" spans="7:8" ht="15.75" customHeight="1" x14ac:dyDescent="0.25">
      <c r="G653" s="115"/>
      <c r="H653" s="115"/>
    </row>
    <row r="654" spans="7:8" ht="15.75" customHeight="1" x14ac:dyDescent="0.25">
      <c r="G654" s="115"/>
      <c r="H654" s="115"/>
    </row>
    <row r="655" spans="7:8" ht="15.75" customHeight="1" x14ac:dyDescent="0.25">
      <c r="G655" s="115"/>
      <c r="H655" s="115"/>
    </row>
    <row r="656" spans="7:8" ht="15.75" customHeight="1" x14ac:dyDescent="0.25">
      <c r="G656" s="115"/>
      <c r="H656" s="115"/>
    </row>
    <row r="657" spans="7:8" ht="15.75" customHeight="1" x14ac:dyDescent="0.25">
      <c r="G657" s="115"/>
      <c r="H657" s="115"/>
    </row>
    <row r="658" spans="7:8" ht="15.75" customHeight="1" x14ac:dyDescent="0.25">
      <c r="G658" s="115"/>
      <c r="H658" s="115"/>
    </row>
    <row r="659" spans="7:8" ht="15.75" customHeight="1" x14ac:dyDescent="0.25">
      <c r="G659" s="115"/>
      <c r="H659" s="115"/>
    </row>
    <row r="660" spans="7:8" ht="15.75" customHeight="1" x14ac:dyDescent="0.25">
      <c r="G660" s="115"/>
      <c r="H660" s="115"/>
    </row>
    <row r="661" spans="7:8" ht="15.75" customHeight="1" x14ac:dyDescent="0.25">
      <c r="G661" s="115"/>
      <c r="H661" s="115"/>
    </row>
    <row r="662" spans="7:8" ht="15.75" customHeight="1" x14ac:dyDescent="0.25">
      <c r="G662" s="115"/>
      <c r="H662" s="115"/>
    </row>
    <row r="663" spans="7:8" ht="15.75" customHeight="1" x14ac:dyDescent="0.25">
      <c r="G663" s="115"/>
      <c r="H663" s="115"/>
    </row>
    <row r="664" spans="7:8" ht="15.75" customHeight="1" x14ac:dyDescent="0.25">
      <c r="G664" s="115"/>
      <c r="H664" s="115"/>
    </row>
    <row r="665" spans="7:8" ht="15.75" customHeight="1" x14ac:dyDescent="0.25">
      <c r="G665" s="115"/>
      <c r="H665" s="115"/>
    </row>
    <row r="666" spans="7:8" ht="15.75" customHeight="1" x14ac:dyDescent="0.25">
      <c r="G666" s="115"/>
      <c r="H666" s="115"/>
    </row>
    <row r="667" spans="7:8" ht="15.75" customHeight="1" x14ac:dyDescent="0.25">
      <c r="G667" s="115"/>
      <c r="H667" s="115"/>
    </row>
    <row r="668" spans="7:8" ht="15.75" customHeight="1" x14ac:dyDescent="0.25">
      <c r="G668" s="115"/>
      <c r="H668" s="115"/>
    </row>
    <row r="669" spans="7:8" ht="15.75" customHeight="1" x14ac:dyDescent="0.25">
      <c r="G669" s="115"/>
      <c r="H669" s="115"/>
    </row>
    <row r="670" spans="7:8" ht="15.75" customHeight="1" x14ac:dyDescent="0.25">
      <c r="G670" s="115"/>
      <c r="H670" s="115"/>
    </row>
    <row r="671" spans="7:8" ht="15.75" customHeight="1" x14ac:dyDescent="0.25">
      <c r="G671" s="115"/>
      <c r="H671" s="115"/>
    </row>
    <row r="672" spans="7:8" ht="15.75" customHeight="1" x14ac:dyDescent="0.25">
      <c r="G672" s="115"/>
      <c r="H672" s="115"/>
    </row>
    <row r="673" spans="7:8" ht="15.75" customHeight="1" x14ac:dyDescent="0.25">
      <c r="G673" s="115"/>
      <c r="H673" s="115"/>
    </row>
    <row r="674" spans="7:8" ht="15.75" customHeight="1" x14ac:dyDescent="0.25">
      <c r="G674" s="115"/>
      <c r="H674" s="115"/>
    </row>
    <row r="675" spans="7:8" ht="15.75" customHeight="1" x14ac:dyDescent="0.25">
      <c r="G675" s="115"/>
      <c r="H675" s="115"/>
    </row>
    <row r="676" spans="7:8" ht="15.75" customHeight="1" x14ac:dyDescent="0.25">
      <c r="G676" s="115"/>
      <c r="H676" s="115"/>
    </row>
    <row r="677" spans="7:8" ht="15.75" customHeight="1" x14ac:dyDescent="0.25">
      <c r="G677" s="115"/>
      <c r="H677" s="115"/>
    </row>
    <row r="678" spans="7:8" ht="15.75" customHeight="1" x14ac:dyDescent="0.25">
      <c r="G678" s="115"/>
      <c r="H678" s="115"/>
    </row>
    <row r="679" spans="7:8" ht="15.75" customHeight="1" x14ac:dyDescent="0.25">
      <c r="G679" s="115"/>
      <c r="H679" s="115"/>
    </row>
    <row r="680" spans="7:8" ht="15.75" customHeight="1" x14ac:dyDescent="0.25">
      <c r="G680" s="115"/>
      <c r="H680" s="115"/>
    </row>
    <row r="681" spans="7:8" ht="15.75" customHeight="1" x14ac:dyDescent="0.25">
      <c r="G681" s="115"/>
      <c r="H681" s="115"/>
    </row>
    <row r="682" spans="7:8" ht="15.75" customHeight="1" x14ac:dyDescent="0.25">
      <c r="G682" s="115"/>
      <c r="H682" s="115"/>
    </row>
    <row r="683" spans="7:8" ht="15.75" customHeight="1" x14ac:dyDescent="0.25">
      <c r="G683" s="115"/>
      <c r="H683" s="115"/>
    </row>
    <row r="684" spans="7:8" ht="15.75" customHeight="1" x14ac:dyDescent="0.25">
      <c r="G684" s="115"/>
      <c r="H684" s="115"/>
    </row>
    <row r="685" spans="7:8" ht="15.75" customHeight="1" x14ac:dyDescent="0.25">
      <c r="G685" s="115"/>
      <c r="H685" s="115"/>
    </row>
    <row r="686" spans="7:8" ht="15.75" customHeight="1" x14ac:dyDescent="0.25">
      <c r="G686" s="115"/>
      <c r="H686" s="115"/>
    </row>
    <row r="687" spans="7:8" ht="15.75" customHeight="1" x14ac:dyDescent="0.25">
      <c r="G687" s="115"/>
      <c r="H687" s="115"/>
    </row>
    <row r="688" spans="7:8" ht="15.75" customHeight="1" x14ac:dyDescent="0.25">
      <c r="G688" s="115"/>
      <c r="H688" s="115"/>
    </row>
    <row r="689" spans="7:8" ht="15.75" customHeight="1" x14ac:dyDescent="0.25">
      <c r="G689" s="115"/>
      <c r="H689" s="115"/>
    </row>
    <row r="690" spans="7:8" ht="15.75" customHeight="1" x14ac:dyDescent="0.25">
      <c r="G690" s="115"/>
      <c r="H690" s="115"/>
    </row>
    <row r="691" spans="7:8" ht="15.75" customHeight="1" x14ac:dyDescent="0.25">
      <c r="G691" s="115"/>
      <c r="H691" s="115"/>
    </row>
    <row r="692" spans="7:8" ht="15.75" customHeight="1" x14ac:dyDescent="0.25">
      <c r="G692" s="115"/>
      <c r="H692" s="115"/>
    </row>
    <row r="693" spans="7:8" ht="15.75" customHeight="1" x14ac:dyDescent="0.25">
      <c r="G693" s="115"/>
      <c r="H693" s="115"/>
    </row>
    <row r="694" spans="7:8" ht="15.75" customHeight="1" x14ac:dyDescent="0.25">
      <c r="G694" s="115"/>
      <c r="H694" s="115"/>
    </row>
    <row r="695" spans="7:8" ht="15.75" customHeight="1" x14ac:dyDescent="0.25">
      <c r="G695" s="115"/>
      <c r="H695" s="115"/>
    </row>
    <row r="696" spans="7:8" ht="15.75" customHeight="1" x14ac:dyDescent="0.25">
      <c r="G696" s="115"/>
      <c r="H696" s="115"/>
    </row>
    <row r="697" spans="7:8" ht="15.75" customHeight="1" x14ac:dyDescent="0.25">
      <c r="G697" s="115"/>
      <c r="H697" s="115"/>
    </row>
    <row r="698" spans="7:8" ht="15.75" customHeight="1" x14ac:dyDescent="0.25">
      <c r="G698" s="115"/>
      <c r="H698" s="115"/>
    </row>
    <row r="699" spans="7:8" ht="15.75" customHeight="1" x14ac:dyDescent="0.25">
      <c r="G699" s="115"/>
      <c r="H699" s="115"/>
    </row>
    <row r="700" spans="7:8" ht="15.75" customHeight="1" x14ac:dyDescent="0.25">
      <c r="G700" s="115"/>
      <c r="H700" s="115"/>
    </row>
    <row r="701" spans="7:8" ht="15.75" customHeight="1" x14ac:dyDescent="0.25">
      <c r="G701" s="115"/>
      <c r="H701" s="115"/>
    </row>
    <row r="702" spans="7:8" ht="15.75" customHeight="1" x14ac:dyDescent="0.25">
      <c r="G702" s="115"/>
      <c r="H702" s="115"/>
    </row>
    <row r="703" spans="7:8" ht="15.75" customHeight="1" x14ac:dyDescent="0.25">
      <c r="G703" s="115"/>
      <c r="H703" s="115"/>
    </row>
    <row r="704" spans="7:8" ht="15.75" customHeight="1" x14ac:dyDescent="0.25">
      <c r="G704" s="115"/>
      <c r="H704" s="115"/>
    </row>
    <row r="705" spans="7:8" ht="15.75" customHeight="1" x14ac:dyDescent="0.25">
      <c r="G705" s="115"/>
      <c r="H705" s="115"/>
    </row>
    <row r="706" spans="7:8" ht="15.75" customHeight="1" x14ac:dyDescent="0.25">
      <c r="G706" s="115"/>
      <c r="H706" s="115"/>
    </row>
    <row r="707" spans="7:8" ht="15.75" customHeight="1" x14ac:dyDescent="0.25">
      <c r="G707" s="115"/>
      <c r="H707" s="115"/>
    </row>
    <row r="708" spans="7:8" ht="15.75" customHeight="1" x14ac:dyDescent="0.25">
      <c r="G708" s="115"/>
      <c r="H708" s="115"/>
    </row>
    <row r="709" spans="7:8" ht="15.75" customHeight="1" x14ac:dyDescent="0.25">
      <c r="G709" s="115"/>
      <c r="H709" s="115"/>
    </row>
    <row r="710" spans="7:8" ht="15.75" customHeight="1" x14ac:dyDescent="0.25">
      <c r="G710" s="115"/>
      <c r="H710" s="115"/>
    </row>
    <row r="711" spans="7:8" ht="15.75" customHeight="1" x14ac:dyDescent="0.25">
      <c r="G711" s="115"/>
      <c r="H711" s="115"/>
    </row>
    <row r="712" spans="7:8" ht="15.75" customHeight="1" x14ac:dyDescent="0.25">
      <c r="G712" s="115"/>
      <c r="H712" s="115"/>
    </row>
    <row r="713" spans="7:8" ht="15.75" customHeight="1" x14ac:dyDescent="0.25">
      <c r="G713" s="115"/>
      <c r="H713" s="115"/>
    </row>
    <row r="714" spans="7:8" ht="15.75" customHeight="1" x14ac:dyDescent="0.25">
      <c r="G714" s="115"/>
      <c r="H714" s="115"/>
    </row>
    <row r="715" spans="7:8" ht="15.75" customHeight="1" x14ac:dyDescent="0.25">
      <c r="G715" s="115"/>
      <c r="H715" s="115"/>
    </row>
    <row r="716" spans="7:8" ht="15.75" customHeight="1" x14ac:dyDescent="0.25">
      <c r="G716" s="115"/>
      <c r="H716" s="115"/>
    </row>
    <row r="717" spans="7:8" ht="15.75" customHeight="1" x14ac:dyDescent="0.25">
      <c r="G717" s="115"/>
      <c r="H717" s="115"/>
    </row>
    <row r="718" spans="7:8" ht="15.75" customHeight="1" x14ac:dyDescent="0.25">
      <c r="G718" s="115"/>
      <c r="H718" s="115"/>
    </row>
    <row r="719" spans="7:8" ht="15.75" customHeight="1" x14ac:dyDescent="0.25">
      <c r="G719" s="115"/>
      <c r="H719" s="115"/>
    </row>
    <row r="720" spans="7:8" ht="15.75" customHeight="1" x14ac:dyDescent="0.25">
      <c r="G720" s="115"/>
      <c r="H720" s="115"/>
    </row>
    <row r="721" spans="7:8" ht="15.75" customHeight="1" x14ac:dyDescent="0.25">
      <c r="G721" s="115"/>
      <c r="H721" s="115"/>
    </row>
    <row r="722" spans="7:8" ht="15.75" customHeight="1" x14ac:dyDescent="0.25">
      <c r="G722" s="115"/>
      <c r="H722" s="115"/>
    </row>
    <row r="723" spans="7:8" ht="15.75" customHeight="1" x14ac:dyDescent="0.25">
      <c r="G723" s="115"/>
      <c r="H723" s="115"/>
    </row>
    <row r="724" spans="7:8" ht="15.75" customHeight="1" x14ac:dyDescent="0.25">
      <c r="G724" s="115"/>
      <c r="H724" s="115"/>
    </row>
    <row r="725" spans="7:8" ht="15.75" customHeight="1" x14ac:dyDescent="0.25">
      <c r="G725" s="115"/>
      <c r="H725" s="115"/>
    </row>
    <row r="726" spans="7:8" ht="15.75" customHeight="1" x14ac:dyDescent="0.25">
      <c r="G726" s="115"/>
      <c r="H726" s="115"/>
    </row>
    <row r="727" spans="7:8" ht="15.75" customHeight="1" x14ac:dyDescent="0.25">
      <c r="G727" s="115"/>
      <c r="H727" s="115"/>
    </row>
    <row r="728" spans="7:8" ht="15.75" customHeight="1" x14ac:dyDescent="0.25">
      <c r="G728" s="115"/>
      <c r="H728" s="115"/>
    </row>
    <row r="729" spans="7:8" ht="15.75" customHeight="1" x14ac:dyDescent="0.25">
      <c r="G729" s="115"/>
      <c r="H729" s="115"/>
    </row>
    <row r="730" spans="7:8" ht="15.75" customHeight="1" x14ac:dyDescent="0.25">
      <c r="G730" s="115"/>
      <c r="H730" s="115"/>
    </row>
    <row r="731" spans="7:8" ht="15.75" customHeight="1" x14ac:dyDescent="0.25">
      <c r="G731" s="115"/>
      <c r="H731" s="115"/>
    </row>
    <row r="732" spans="7:8" ht="15.75" customHeight="1" x14ac:dyDescent="0.25">
      <c r="G732" s="115"/>
      <c r="H732" s="115"/>
    </row>
    <row r="733" spans="7:8" ht="15.75" customHeight="1" x14ac:dyDescent="0.25">
      <c r="G733" s="115"/>
      <c r="H733" s="115"/>
    </row>
    <row r="734" spans="7:8" ht="15.75" customHeight="1" x14ac:dyDescent="0.25">
      <c r="G734" s="115"/>
      <c r="H734" s="115"/>
    </row>
    <row r="735" spans="7:8" ht="15.75" customHeight="1" x14ac:dyDescent="0.25">
      <c r="G735" s="115"/>
      <c r="H735" s="115"/>
    </row>
    <row r="736" spans="7:8" ht="15.75" customHeight="1" x14ac:dyDescent="0.25">
      <c r="G736" s="115"/>
      <c r="H736" s="115"/>
    </row>
    <row r="737" spans="7:8" ht="15.75" customHeight="1" x14ac:dyDescent="0.25">
      <c r="G737" s="115"/>
      <c r="H737" s="115"/>
    </row>
    <row r="738" spans="7:8" ht="15.75" customHeight="1" x14ac:dyDescent="0.25">
      <c r="G738" s="115"/>
      <c r="H738" s="115"/>
    </row>
    <row r="739" spans="7:8" ht="15.75" customHeight="1" x14ac:dyDescent="0.25">
      <c r="G739" s="115"/>
      <c r="H739" s="115"/>
    </row>
    <row r="740" spans="7:8" ht="15.75" customHeight="1" x14ac:dyDescent="0.25">
      <c r="G740" s="115"/>
      <c r="H740" s="115"/>
    </row>
    <row r="741" spans="7:8" ht="15.75" customHeight="1" x14ac:dyDescent="0.25">
      <c r="G741" s="115"/>
      <c r="H741" s="115"/>
    </row>
    <row r="742" spans="7:8" ht="15.75" customHeight="1" x14ac:dyDescent="0.25">
      <c r="G742" s="115"/>
      <c r="H742" s="115"/>
    </row>
    <row r="743" spans="7:8" ht="15.75" customHeight="1" x14ac:dyDescent="0.25">
      <c r="G743" s="115"/>
      <c r="H743" s="115"/>
    </row>
    <row r="744" spans="7:8" ht="15.75" customHeight="1" x14ac:dyDescent="0.25">
      <c r="G744" s="115"/>
      <c r="H744" s="115"/>
    </row>
    <row r="745" spans="7:8" ht="15.75" customHeight="1" x14ac:dyDescent="0.25">
      <c r="G745" s="115"/>
      <c r="H745" s="115"/>
    </row>
    <row r="746" spans="7:8" ht="15.75" customHeight="1" x14ac:dyDescent="0.25">
      <c r="G746" s="115"/>
      <c r="H746" s="115"/>
    </row>
    <row r="747" spans="7:8" ht="15.75" customHeight="1" x14ac:dyDescent="0.25">
      <c r="G747" s="115"/>
      <c r="H747" s="115"/>
    </row>
    <row r="748" spans="7:8" ht="15.75" customHeight="1" x14ac:dyDescent="0.25">
      <c r="G748" s="115"/>
      <c r="H748" s="115"/>
    </row>
    <row r="749" spans="7:8" ht="15.75" customHeight="1" x14ac:dyDescent="0.25">
      <c r="G749" s="115"/>
      <c r="H749" s="115"/>
    </row>
    <row r="750" spans="7:8" ht="15.75" customHeight="1" x14ac:dyDescent="0.25">
      <c r="G750" s="115"/>
      <c r="H750" s="115"/>
    </row>
    <row r="751" spans="7:8" ht="15.75" customHeight="1" x14ac:dyDescent="0.25">
      <c r="G751" s="115"/>
      <c r="H751" s="115"/>
    </row>
    <row r="752" spans="7:8" ht="15.75" customHeight="1" x14ac:dyDescent="0.25">
      <c r="G752" s="115"/>
      <c r="H752" s="115"/>
    </row>
    <row r="753" spans="7:8" ht="15.75" customHeight="1" x14ac:dyDescent="0.25">
      <c r="G753" s="115"/>
      <c r="H753" s="115"/>
    </row>
    <row r="754" spans="7:8" ht="15.75" customHeight="1" x14ac:dyDescent="0.25">
      <c r="G754" s="115"/>
      <c r="H754" s="115"/>
    </row>
    <row r="755" spans="7:8" ht="15.75" customHeight="1" x14ac:dyDescent="0.25">
      <c r="G755" s="115"/>
      <c r="H755" s="115"/>
    </row>
    <row r="756" spans="7:8" ht="15.75" customHeight="1" x14ac:dyDescent="0.25">
      <c r="G756" s="115"/>
      <c r="H756" s="115"/>
    </row>
    <row r="757" spans="7:8" ht="15.75" customHeight="1" x14ac:dyDescent="0.25">
      <c r="G757" s="115"/>
      <c r="H757" s="115"/>
    </row>
    <row r="758" spans="7:8" ht="15.75" customHeight="1" x14ac:dyDescent="0.25">
      <c r="G758" s="115"/>
      <c r="H758" s="115"/>
    </row>
    <row r="759" spans="7:8" ht="15.75" customHeight="1" x14ac:dyDescent="0.25">
      <c r="G759" s="115"/>
      <c r="H759" s="115"/>
    </row>
    <row r="760" spans="7:8" ht="15.75" customHeight="1" x14ac:dyDescent="0.25">
      <c r="G760" s="115"/>
      <c r="H760" s="115"/>
    </row>
    <row r="761" spans="7:8" ht="15.75" customHeight="1" x14ac:dyDescent="0.25">
      <c r="G761" s="115"/>
      <c r="H761" s="115"/>
    </row>
    <row r="762" spans="7:8" ht="15.75" customHeight="1" x14ac:dyDescent="0.25">
      <c r="G762" s="115"/>
      <c r="H762" s="115"/>
    </row>
    <row r="763" spans="7:8" ht="15.75" customHeight="1" x14ac:dyDescent="0.25">
      <c r="G763" s="115"/>
      <c r="H763" s="115"/>
    </row>
    <row r="764" spans="7:8" ht="15.75" customHeight="1" x14ac:dyDescent="0.25">
      <c r="G764" s="115"/>
      <c r="H764" s="115"/>
    </row>
    <row r="765" spans="7:8" ht="15.75" customHeight="1" x14ac:dyDescent="0.25">
      <c r="G765" s="115"/>
      <c r="H765" s="115"/>
    </row>
    <row r="766" spans="7:8" ht="15.75" customHeight="1" x14ac:dyDescent="0.25">
      <c r="G766" s="115"/>
      <c r="H766" s="115"/>
    </row>
    <row r="767" spans="7:8" ht="15.75" customHeight="1" x14ac:dyDescent="0.25">
      <c r="G767" s="115"/>
      <c r="H767" s="115"/>
    </row>
    <row r="768" spans="7:8" ht="15.75" customHeight="1" x14ac:dyDescent="0.25">
      <c r="G768" s="115"/>
      <c r="H768" s="115"/>
    </row>
    <row r="769" spans="7:8" ht="15.75" customHeight="1" x14ac:dyDescent="0.25">
      <c r="G769" s="115"/>
      <c r="H769" s="115"/>
    </row>
    <row r="770" spans="7:8" ht="15.75" customHeight="1" x14ac:dyDescent="0.25">
      <c r="G770" s="115"/>
      <c r="H770" s="115"/>
    </row>
    <row r="771" spans="7:8" ht="15.75" customHeight="1" x14ac:dyDescent="0.25">
      <c r="G771" s="115"/>
      <c r="H771" s="115"/>
    </row>
    <row r="772" spans="7:8" ht="15.75" customHeight="1" x14ac:dyDescent="0.25">
      <c r="G772" s="115"/>
      <c r="H772" s="115"/>
    </row>
    <row r="773" spans="7:8" ht="15.75" customHeight="1" x14ac:dyDescent="0.25">
      <c r="G773" s="115"/>
      <c r="H773" s="115"/>
    </row>
    <row r="774" spans="7:8" ht="15.75" customHeight="1" x14ac:dyDescent="0.25">
      <c r="G774" s="115"/>
      <c r="H774" s="115"/>
    </row>
    <row r="775" spans="7:8" ht="15.75" customHeight="1" x14ac:dyDescent="0.25">
      <c r="G775" s="115"/>
      <c r="H775" s="115"/>
    </row>
    <row r="776" spans="7:8" ht="15.75" customHeight="1" x14ac:dyDescent="0.25">
      <c r="G776" s="115"/>
      <c r="H776" s="115"/>
    </row>
    <row r="777" spans="7:8" ht="15.75" customHeight="1" x14ac:dyDescent="0.25">
      <c r="G777" s="115"/>
      <c r="H777" s="115"/>
    </row>
    <row r="778" spans="7:8" ht="15.75" customHeight="1" x14ac:dyDescent="0.25">
      <c r="G778" s="115"/>
      <c r="H778" s="115"/>
    </row>
    <row r="779" spans="7:8" ht="15.75" customHeight="1" x14ac:dyDescent="0.25">
      <c r="G779" s="115"/>
      <c r="H779" s="115"/>
    </row>
    <row r="780" spans="7:8" ht="15.75" customHeight="1" x14ac:dyDescent="0.25">
      <c r="G780" s="115"/>
      <c r="H780" s="115"/>
    </row>
    <row r="781" spans="7:8" ht="15.75" customHeight="1" x14ac:dyDescent="0.25">
      <c r="G781" s="115"/>
      <c r="H781" s="115"/>
    </row>
    <row r="782" spans="7:8" ht="15.75" customHeight="1" x14ac:dyDescent="0.25">
      <c r="G782" s="115"/>
      <c r="H782" s="115"/>
    </row>
    <row r="783" spans="7:8" ht="15.75" customHeight="1" x14ac:dyDescent="0.25">
      <c r="G783" s="115"/>
      <c r="H783" s="115"/>
    </row>
    <row r="784" spans="7:8" ht="15.75" customHeight="1" x14ac:dyDescent="0.25">
      <c r="G784" s="115"/>
      <c r="H784" s="115"/>
    </row>
    <row r="785" spans="7:8" ht="15.75" customHeight="1" x14ac:dyDescent="0.25">
      <c r="G785" s="115"/>
      <c r="H785" s="115"/>
    </row>
    <row r="786" spans="7:8" ht="15.75" customHeight="1" x14ac:dyDescent="0.25">
      <c r="G786" s="115"/>
      <c r="H786" s="115"/>
    </row>
    <row r="787" spans="7:8" ht="15.75" customHeight="1" x14ac:dyDescent="0.25">
      <c r="G787" s="115"/>
      <c r="H787" s="115"/>
    </row>
    <row r="788" spans="7:8" ht="15.75" customHeight="1" x14ac:dyDescent="0.25">
      <c r="G788" s="115"/>
      <c r="H788" s="115"/>
    </row>
    <row r="789" spans="7:8" ht="15.75" customHeight="1" x14ac:dyDescent="0.25">
      <c r="G789" s="115"/>
      <c r="H789" s="115"/>
    </row>
    <row r="790" spans="7:8" ht="15.75" customHeight="1" x14ac:dyDescent="0.25">
      <c r="G790" s="115"/>
      <c r="H790" s="115"/>
    </row>
    <row r="791" spans="7:8" ht="15.75" customHeight="1" x14ac:dyDescent="0.25">
      <c r="G791" s="115"/>
      <c r="H791" s="115"/>
    </row>
    <row r="792" spans="7:8" ht="15.75" customHeight="1" x14ac:dyDescent="0.25">
      <c r="G792" s="115"/>
      <c r="H792" s="115"/>
    </row>
    <row r="793" spans="7:8" ht="15.75" customHeight="1" x14ac:dyDescent="0.25">
      <c r="G793" s="115"/>
      <c r="H793" s="115"/>
    </row>
    <row r="794" spans="7:8" ht="15.75" customHeight="1" x14ac:dyDescent="0.25">
      <c r="G794" s="115"/>
      <c r="H794" s="115"/>
    </row>
    <row r="795" spans="7:8" ht="15.75" customHeight="1" x14ac:dyDescent="0.25">
      <c r="G795" s="115"/>
      <c r="H795" s="115"/>
    </row>
    <row r="796" spans="7:8" ht="15.75" customHeight="1" x14ac:dyDescent="0.25">
      <c r="G796" s="115"/>
      <c r="H796" s="115"/>
    </row>
    <row r="797" spans="7:8" ht="15.75" customHeight="1" x14ac:dyDescent="0.25">
      <c r="G797" s="115"/>
      <c r="H797" s="115"/>
    </row>
    <row r="798" spans="7:8" ht="15.75" customHeight="1" x14ac:dyDescent="0.25">
      <c r="G798" s="115"/>
      <c r="H798" s="115"/>
    </row>
    <row r="799" spans="7:8" ht="15.75" customHeight="1" x14ac:dyDescent="0.25">
      <c r="G799" s="115"/>
      <c r="H799" s="115"/>
    </row>
    <row r="800" spans="7:8" ht="15.75" customHeight="1" x14ac:dyDescent="0.25">
      <c r="G800" s="115"/>
      <c r="H800" s="115"/>
    </row>
    <row r="801" spans="7:8" ht="15.75" customHeight="1" x14ac:dyDescent="0.25">
      <c r="G801" s="115"/>
      <c r="H801" s="115"/>
    </row>
    <row r="802" spans="7:8" ht="15.75" customHeight="1" x14ac:dyDescent="0.25">
      <c r="G802" s="115"/>
      <c r="H802" s="115"/>
    </row>
    <row r="803" spans="7:8" ht="15.75" customHeight="1" x14ac:dyDescent="0.25">
      <c r="G803" s="115"/>
      <c r="H803" s="115"/>
    </row>
    <row r="804" spans="7:8" ht="15.75" customHeight="1" x14ac:dyDescent="0.25">
      <c r="G804" s="115"/>
      <c r="H804" s="115"/>
    </row>
    <row r="805" spans="7:8" ht="15.75" customHeight="1" x14ac:dyDescent="0.25">
      <c r="G805" s="115"/>
      <c r="H805" s="115"/>
    </row>
    <row r="806" spans="7:8" ht="15.75" customHeight="1" x14ac:dyDescent="0.25">
      <c r="G806" s="115"/>
      <c r="H806" s="115"/>
    </row>
    <row r="807" spans="7:8" ht="15.75" customHeight="1" x14ac:dyDescent="0.25">
      <c r="G807" s="115"/>
      <c r="H807" s="115"/>
    </row>
    <row r="808" spans="7:8" ht="15.75" customHeight="1" x14ac:dyDescent="0.25">
      <c r="G808" s="115"/>
      <c r="H808" s="115"/>
    </row>
    <row r="809" spans="7:8" ht="15.75" customHeight="1" x14ac:dyDescent="0.25">
      <c r="G809" s="115"/>
      <c r="H809" s="115"/>
    </row>
    <row r="810" spans="7:8" ht="15.75" customHeight="1" x14ac:dyDescent="0.25">
      <c r="G810" s="115"/>
      <c r="H810" s="115"/>
    </row>
    <row r="811" spans="7:8" ht="15.75" customHeight="1" x14ac:dyDescent="0.25">
      <c r="G811" s="115"/>
      <c r="H811" s="115"/>
    </row>
    <row r="812" spans="7:8" ht="15.75" customHeight="1" x14ac:dyDescent="0.25">
      <c r="G812" s="115"/>
      <c r="H812" s="115"/>
    </row>
    <row r="813" spans="7:8" ht="15.75" customHeight="1" x14ac:dyDescent="0.25">
      <c r="G813" s="115"/>
      <c r="H813" s="115"/>
    </row>
    <row r="814" spans="7:8" ht="15.75" customHeight="1" x14ac:dyDescent="0.25">
      <c r="G814" s="115"/>
      <c r="H814" s="115"/>
    </row>
    <row r="815" spans="7:8" ht="15.75" customHeight="1" x14ac:dyDescent="0.25">
      <c r="G815" s="115"/>
      <c r="H815" s="115"/>
    </row>
    <row r="816" spans="7:8" ht="15.75" customHeight="1" x14ac:dyDescent="0.25">
      <c r="G816" s="115"/>
      <c r="H816" s="115"/>
    </row>
    <row r="817" spans="7:8" ht="15.75" customHeight="1" x14ac:dyDescent="0.25">
      <c r="G817" s="115"/>
      <c r="H817" s="115"/>
    </row>
    <row r="818" spans="7:8" ht="15.75" customHeight="1" x14ac:dyDescent="0.25">
      <c r="G818" s="115"/>
      <c r="H818" s="115"/>
    </row>
    <row r="819" spans="7:8" ht="15.75" customHeight="1" x14ac:dyDescent="0.25">
      <c r="G819" s="115"/>
      <c r="H819" s="115"/>
    </row>
    <row r="820" spans="7:8" ht="15.75" customHeight="1" x14ac:dyDescent="0.25">
      <c r="G820" s="115"/>
      <c r="H820" s="115"/>
    </row>
    <row r="821" spans="7:8" ht="15.75" customHeight="1" x14ac:dyDescent="0.25">
      <c r="G821" s="115"/>
      <c r="H821" s="115"/>
    </row>
    <row r="822" spans="7:8" ht="15.75" customHeight="1" x14ac:dyDescent="0.25">
      <c r="G822" s="115"/>
      <c r="H822" s="115"/>
    </row>
    <row r="823" spans="7:8" ht="15.75" customHeight="1" x14ac:dyDescent="0.25">
      <c r="G823" s="115"/>
      <c r="H823" s="115"/>
    </row>
    <row r="824" spans="7:8" ht="15.75" customHeight="1" x14ac:dyDescent="0.25">
      <c r="G824" s="115"/>
      <c r="H824" s="115"/>
    </row>
    <row r="825" spans="7:8" ht="15.75" customHeight="1" x14ac:dyDescent="0.25">
      <c r="G825" s="115"/>
      <c r="H825" s="115"/>
    </row>
    <row r="826" spans="7:8" ht="15.75" customHeight="1" x14ac:dyDescent="0.25">
      <c r="G826" s="115"/>
      <c r="H826" s="115"/>
    </row>
    <row r="827" spans="7:8" ht="15.75" customHeight="1" x14ac:dyDescent="0.25">
      <c r="G827" s="115"/>
      <c r="H827" s="115"/>
    </row>
    <row r="828" spans="7:8" ht="15.75" customHeight="1" x14ac:dyDescent="0.25">
      <c r="G828" s="115"/>
      <c r="H828" s="115"/>
    </row>
    <row r="829" spans="7:8" ht="15.75" customHeight="1" x14ac:dyDescent="0.25">
      <c r="G829" s="115"/>
      <c r="H829" s="115"/>
    </row>
    <row r="830" spans="7:8" ht="15.75" customHeight="1" x14ac:dyDescent="0.25">
      <c r="G830" s="115"/>
      <c r="H830" s="115"/>
    </row>
    <row r="831" spans="7:8" ht="15.75" customHeight="1" x14ac:dyDescent="0.25">
      <c r="G831" s="115"/>
      <c r="H831" s="115"/>
    </row>
    <row r="832" spans="7:8" ht="15.75" customHeight="1" x14ac:dyDescent="0.25">
      <c r="G832" s="115"/>
      <c r="H832" s="115"/>
    </row>
    <row r="833" spans="7:8" ht="15.75" customHeight="1" x14ac:dyDescent="0.25">
      <c r="G833" s="115"/>
      <c r="H833" s="115"/>
    </row>
    <row r="834" spans="7:8" ht="15.75" customHeight="1" x14ac:dyDescent="0.25">
      <c r="G834" s="115"/>
      <c r="H834" s="115"/>
    </row>
    <row r="835" spans="7:8" ht="15.75" customHeight="1" x14ac:dyDescent="0.25">
      <c r="G835" s="115"/>
      <c r="H835" s="115"/>
    </row>
    <row r="836" spans="7:8" ht="15.75" customHeight="1" x14ac:dyDescent="0.25">
      <c r="G836" s="115"/>
      <c r="H836" s="115"/>
    </row>
    <row r="837" spans="7:8" ht="15.75" customHeight="1" x14ac:dyDescent="0.25">
      <c r="G837" s="115"/>
      <c r="H837" s="115"/>
    </row>
    <row r="838" spans="7:8" ht="15.75" customHeight="1" x14ac:dyDescent="0.25">
      <c r="G838" s="115"/>
      <c r="H838" s="115"/>
    </row>
    <row r="839" spans="7:8" ht="15.75" customHeight="1" x14ac:dyDescent="0.25">
      <c r="G839" s="115"/>
      <c r="H839" s="115"/>
    </row>
    <row r="840" spans="7:8" ht="15.75" customHeight="1" x14ac:dyDescent="0.25">
      <c r="G840" s="115"/>
      <c r="H840" s="115"/>
    </row>
    <row r="841" spans="7:8" ht="15.75" customHeight="1" x14ac:dyDescent="0.25">
      <c r="G841" s="115"/>
      <c r="H841" s="115"/>
    </row>
    <row r="842" spans="7:8" ht="15.75" customHeight="1" x14ac:dyDescent="0.25">
      <c r="G842" s="115"/>
      <c r="H842" s="115"/>
    </row>
    <row r="843" spans="7:8" ht="15.75" customHeight="1" x14ac:dyDescent="0.25">
      <c r="G843" s="115"/>
      <c r="H843" s="115"/>
    </row>
    <row r="844" spans="7:8" ht="15.75" customHeight="1" x14ac:dyDescent="0.25">
      <c r="G844" s="115"/>
      <c r="H844" s="115"/>
    </row>
    <row r="845" spans="7:8" ht="15.75" customHeight="1" x14ac:dyDescent="0.25">
      <c r="G845" s="115"/>
      <c r="H845" s="115"/>
    </row>
    <row r="846" spans="7:8" ht="15.75" customHeight="1" x14ac:dyDescent="0.25">
      <c r="G846" s="115"/>
      <c r="H846" s="115"/>
    </row>
    <row r="847" spans="7:8" ht="15.75" customHeight="1" x14ac:dyDescent="0.25">
      <c r="G847" s="115"/>
      <c r="H847" s="115"/>
    </row>
    <row r="848" spans="7:8" ht="15.75" customHeight="1" x14ac:dyDescent="0.25">
      <c r="G848" s="115"/>
      <c r="H848" s="115"/>
    </row>
    <row r="849" spans="7:8" ht="15.75" customHeight="1" x14ac:dyDescent="0.25">
      <c r="G849" s="115"/>
      <c r="H849" s="115"/>
    </row>
    <row r="850" spans="7:8" ht="15.75" customHeight="1" x14ac:dyDescent="0.25">
      <c r="G850" s="115"/>
      <c r="H850" s="115"/>
    </row>
    <row r="851" spans="7:8" ht="15.75" customHeight="1" x14ac:dyDescent="0.25">
      <c r="G851" s="115"/>
      <c r="H851" s="115"/>
    </row>
    <row r="852" spans="7:8" ht="15.75" customHeight="1" x14ac:dyDescent="0.25">
      <c r="G852" s="115"/>
      <c r="H852" s="115"/>
    </row>
    <row r="853" spans="7:8" ht="15.75" customHeight="1" x14ac:dyDescent="0.25">
      <c r="G853" s="115"/>
      <c r="H853" s="115"/>
    </row>
    <row r="854" spans="7:8" ht="15.75" customHeight="1" x14ac:dyDescent="0.25">
      <c r="G854" s="115"/>
      <c r="H854" s="115"/>
    </row>
    <row r="855" spans="7:8" ht="15.75" customHeight="1" x14ac:dyDescent="0.25">
      <c r="G855" s="115"/>
      <c r="H855" s="115"/>
    </row>
    <row r="856" spans="7:8" ht="15.75" customHeight="1" x14ac:dyDescent="0.25">
      <c r="G856" s="115"/>
      <c r="H856" s="115"/>
    </row>
    <row r="857" spans="7:8" ht="15.75" customHeight="1" x14ac:dyDescent="0.25">
      <c r="G857" s="115"/>
      <c r="H857" s="115"/>
    </row>
    <row r="858" spans="7:8" ht="15.75" customHeight="1" x14ac:dyDescent="0.25">
      <c r="G858" s="115"/>
      <c r="H858" s="115"/>
    </row>
    <row r="859" spans="7:8" ht="15.75" customHeight="1" x14ac:dyDescent="0.25">
      <c r="G859" s="115"/>
      <c r="H859" s="115"/>
    </row>
    <row r="860" spans="7:8" ht="15.75" customHeight="1" x14ac:dyDescent="0.25">
      <c r="G860" s="115"/>
      <c r="H860" s="115"/>
    </row>
    <row r="861" spans="7:8" ht="15.75" customHeight="1" x14ac:dyDescent="0.25">
      <c r="G861" s="115"/>
      <c r="H861" s="115"/>
    </row>
    <row r="862" spans="7:8" ht="15.75" customHeight="1" x14ac:dyDescent="0.25">
      <c r="G862" s="115"/>
      <c r="H862" s="115"/>
    </row>
    <row r="863" spans="7:8" ht="15.75" customHeight="1" x14ac:dyDescent="0.25">
      <c r="G863" s="115"/>
      <c r="H863" s="115"/>
    </row>
    <row r="864" spans="7:8" ht="15.75" customHeight="1" x14ac:dyDescent="0.25">
      <c r="G864" s="115"/>
      <c r="H864" s="115"/>
    </row>
    <row r="865" spans="7:8" ht="15.75" customHeight="1" x14ac:dyDescent="0.25">
      <c r="G865" s="115"/>
      <c r="H865" s="115"/>
    </row>
    <row r="866" spans="7:8" ht="15.75" customHeight="1" x14ac:dyDescent="0.25">
      <c r="G866" s="115"/>
      <c r="H866" s="115"/>
    </row>
    <row r="867" spans="7:8" ht="15.75" customHeight="1" x14ac:dyDescent="0.25">
      <c r="G867" s="115"/>
      <c r="H867" s="115"/>
    </row>
    <row r="868" spans="7:8" ht="15.75" customHeight="1" x14ac:dyDescent="0.25">
      <c r="G868" s="115"/>
      <c r="H868" s="115"/>
    </row>
    <row r="869" spans="7:8" ht="15.75" customHeight="1" x14ac:dyDescent="0.25">
      <c r="G869" s="115"/>
      <c r="H869" s="115"/>
    </row>
    <row r="870" spans="7:8" ht="15.75" customHeight="1" x14ac:dyDescent="0.25">
      <c r="G870" s="115"/>
      <c r="H870" s="115"/>
    </row>
    <row r="871" spans="7:8" ht="15.75" customHeight="1" x14ac:dyDescent="0.25">
      <c r="G871" s="115"/>
      <c r="H871" s="115"/>
    </row>
    <row r="872" spans="7:8" ht="15.75" customHeight="1" x14ac:dyDescent="0.25">
      <c r="G872" s="115"/>
      <c r="H872" s="115"/>
    </row>
    <row r="873" spans="7:8" ht="15.75" customHeight="1" x14ac:dyDescent="0.25">
      <c r="G873" s="115"/>
      <c r="H873" s="115"/>
    </row>
    <row r="874" spans="7:8" ht="15.75" customHeight="1" x14ac:dyDescent="0.25">
      <c r="G874" s="115"/>
      <c r="H874" s="115"/>
    </row>
    <row r="875" spans="7:8" ht="15.75" customHeight="1" x14ac:dyDescent="0.25">
      <c r="G875" s="115"/>
      <c r="H875" s="115"/>
    </row>
    <row r="876" spans="7:8" ht="15.75" customHeight="1" x14ac:dyDescent="0.25">
      <c r="G876" s="115"/>
      <c r="H876" s="115"/>
    </row>
    <row r="877" spans="7:8" ht="15.75" customHeight="1" x14ac:dyDescent="0.25">
      <c r="G877" s="115"/>
      <c r="H877" s="115"/>
    </row>
    <row r="878" spans="7:8" ht="15.75" customHeight="1" x14ac:dyDescent="0.25">
      <c r="G878" s="115"/>
      <c r="H878" s="115"/>
    </row>
    <row r="879" spans="7:8" ht="15.75" customHeight="1" x14ac:dyDescent="0.25">
      <c r="G879" s="115"/>
      <c r="H879" s="115"/>
    </row>
    <row r="880" spans="7:8" ht="15.75" customHeight="1" x14ac:dyDescent="0.25">
      <c r="G880" s="115"/>
      <c r="H880" s="115"/>
    </row>
    <row r="881" spans="7:8" ht="15.75" customHeight="1" x14ac:dyDescent="0.25">
      <c r="G881" s="115"/>
      <c r="H881" s="115"/>
    </row>
    <row r="882" spans="7:8" ht="15.75" customHeight="1" x14ac:dyDescent="0.25">
      <c r="G882" s="115"/>
      <c r="H882" s="115"/>
    </row>
    <row r="883" spans="7:8" ht="15.75" customHeight="1" x14ac:dyDescent="0.25">
      <c r="G883" s="115"/>
      <c r="H883" s="115"/>
    </row>
    <row r="884" spans="7:8" ht="15.75" customHeight="1" x14ac:dyDescent="0.25">
      <c r="G884" s="115"/>
      <c r="H884" s="115"/>
    </row>
    <row r="885" spans="7:8" ht="15.75" customHeight="1" x14ac:dyDescent="0.25">
      <c r="G885" s="115"/>
      <c r="H885" s="115"/>
    </row>
    <row r="886" spans="7:8" ht="15.75" customHeight="1" x14ac:dyDescent="0.25">
      <c r="G886" s="115"/>
      <c r="H886" s="115"/>
    </row>
    <row r="887" spans="7:8" ht="15.75" customHeight="1" x14ac:dyDescent="0.25">
      <c r="G887" s="115"/>
      <c r="H887" s="115"/>
    </row>
    <row r="888" spans="7:8" ht="15.75" customHeight="1" x14ac:dyDescent="0.25">
      <c r="G888" s="115"/>
      <c r="H888" s="115"/>
    </row>
    <row r="889" spans="7:8" ht="15.75" customHeight="1" x14ac:dyDescent="0.25">
      <c r="G889" s="115"/>
      <c r="H889" s="115"/>
    </row>
    <row r="890" spans="7:8" ht="15.75" customHeight="1" x14ac:dyDescent="0.25">
      <c r="G890" s="115"/>
      <c r="H890" s="115"/>
    </row>
    <row r="891" spans="7:8" ht="15.75" customHeight="1" x14ac:dyDescent="0.25">
      <c r="G891" s="115"/>
      <c r="H891" s="115"/>
    </row>
    <row r="892" spans="7:8" ht="15.75" customHeight="1" x14ac:dyDescent="0.25">
      <c r="G892" s="115"/>
      <c r="H892" s="115"/>
    </row>
    <row r="893" spans="7:8" ht="15.75" customHeight="1" x14ac:dyDescent="0.25">
      <c r="G893" s="115"/>
      <c r="H893" s="115"/>
    </row>
    <row r="894" spans="7:8" ht="15.75" customHeight="1" x14ac:dyDescent="0.25">
      <c r="G894" s="115"/>
      <c r="H894" s="115"/>
    </row>
    <row r="895" spans="7:8" ht="15.75" customHeight="1" x14ac:dyDescent="0.25">
      <c r="G895" s="115"/>
      <c r="H895" s="115"/>
    </row>
    <row r="896" spans="7:8" ht="15.75" customHeight="1" x14ac:dyDescent="0.25">
      <c r="G896" s="115"/>
      <c r="H896" s="115"/>
    </row>
    <row r="897" spans="7:8" ht="15.75" customHeight="1" x14ac:dyDescent="0.25">
      <c r="G897" s="115"/>
      <c r="H897" s="115"/>
    </row>
    <row r="898" spans="7:8" ht="15.75" customHeight="1" x14ac:dyDescent="0.25">
      <c r="G898" s="115"/>
      <c r="H898" s="115"/>
    </row>
    <row r="899" spans="7:8" ht="15.75" customHeight="1" x14ac:dyDescent="0.25">
      <c r="G899" s="115"/>
      <c r="H899" s="115"/>
    </row>
    <row r="900" spans="7:8" ht="15.75" customHeight="1" x14ac:dyDescent="0.25">
      <c r="G900" s="115"/>
      <c r="H900" s="115"/>
    </row>
    <row r="901" spans="7:8" ht="15.75" customHeight="1" x14ac:dyDescent="0.25">
      <c r="G901" s="115"/>
      <c r="H901" s="115"/>
    </row>
    <row r="902" spans="7:8" ht="15.75" customHeight="1" x14ac:dyDescent="0.25">
      <c r="G902" s="115"/>
      <c r="H902" s="115"/>
    </row>
    <row r="903" spans="7:8" ht="15.75" customHeight="1" x14ac:dyDescent="0.25">
      <c r="G903" s="115"/>
      <c r="H903" s="115"/>
    </row>
    <row r="904" spans="7:8" ht="15.75" customHeight="1" x14ac:dyDescent="0.25">
      <c r="G904" s="115"/>
      <c r="H904" s="115"/>
    </row>
    <row r="905" spans="7:8" ht="15.75" customHeight="1" x14ac:dyDescent="0.25">
      <c r="G905" s="115"/>
      <c r="H905" s="115"/>
    </row>
    <row r="906" spans="7:8" ht="15.75" customHeight="1" x14ac:dyDescent="0.25">
      <c r="G906" s="115"/>
      <c r="H906" s="115"/>
    </row>
    <row r="907" spans="7:8" ht="15.75" customHeight="1" x14ac:dyDescent="0.25">
      <c r="G907" s="115"/>
      <c r="H907" s="115"/>
    </row>
    <row r="908" spans="7:8" ht="15.75" customHeight="1" x14ac:dyDescent="0.25">
      <c r="G908" s="115"/>
      <c r="H908" s="115"/>
    </row>
    <row r="909" spans="7:8" ht="15.75" customHeight="1" x14ac:dyDescent="0.25">
      <c r="G909" s="115"/>
      <c r="H909" s="115"/>
    </row>
    <row r="910" spans="7:8" ht="15.75" customHeight="1" x14ac:dyDescent="0.25">
      <c r="G910" s="115"/>
      <c r="H910" s="115"/>
    </row>
    <row r="911" spans="7:8" ht="15.75" customHeight="1" x14ac:dyDescent="0.25">
      <c r="G911" s="115"/>
      <c r="H911" s="115"/>
    </row>
    <row r="912" spans="7:8" ht="15.75" customHeight="1" x14ac:dyDescent="0.25">
      <c r="G912" s="115"/>
      <c r="H912" s="115"/>
    </row>
    <row r="913" spans="7:8" ht="15.75" customHeight="1" x14ac:dyDescent="0.25">
      <c r="G913" s="115"/>
      <c r="H913" s="115"/>
    </row>
    <row r="914" spans="7:8" ht="15.75" customHeight="1" x14ac:dyDescent="0.25">
      <c r="G914" s="115"/>
      <c r="H914" s="115"/>
    </row>
    <row r="915" spans="7:8" ht="15.75" customHeight="1" x14ac:dyDescent="0.25">
      <c r="G915" s="115"/>
      <c r="H915" s="115"/>
    </row>
    <row r="916" spans="7:8" ht="15.75" customHeight="1" x14ac:dyDescent="0.25">
      <c r="G916" s="115"/>
      <c r="H916" s="115"/>
    </row>
    <row r="917" spans="7:8" ht="15.75" customHeight="1" x14ac:dyDescent="0.25">
      <c r="G917" s="115"/>
      <c r="H917" s="115"/>
    </row>
    <row r="918" spans="7:8" ht="15.75" customHeight="1" x14ac:dyDescent="0.25">
      <c r="G918" s="115"/>
      <c r="H918" s="115"/>
    </row>
    <row r="919" spans="7:8" ht="15.75" customHeight="1" x14ac:dyDescent="0.25">
      <c r="G919" s="115"/>
      <c r="H919" s="115"/>
    </row>
    <row r="920" spans="7:8" ht="15.75" customHeight="1" x14ac:dyDescent="0.25">
      <c r="G920" s="115"/>
      <c r="H920" s="115"/>
    </row>
    <row r="921" spans="7:8" ht="15.75" customHeight="1" x14ac:dyDescent="0.25">
      <c r="G921" s="115"/>
      <c r="H921" s="115"/>
    </row>
    <row r="922" spans="7:8" ht="15.75" customHeight="1" x14ac:dyDescent="0.25">
      <c r="G922" s="115"/>
      <c r="H922" s="115"/>
    </row>
    <row r="923" spans="7:8" ht="15.75" customHeight="1" x14ac:dyDescent="0.25">
      <c r="G923" s="115"/>
      <c r="H923" s="115"/>
    </row>
    <row r="924" spans="7:8" ht="15.75" customHeight="1" x14ac:dyDescent="0.25">
      <c r="G924" s="115"/>
      <c r="H924" s="115"/>
    </row>
    <row r="925" spans="7:8" ht="15.75" customHeight="1" x14ac:dyDescent="0.25">
      <c r="G925" s="115"/>
      <c r="H925" s="115"/>
    </row>
    <row r="926" spans="7:8" ht="15.75" customHeight="1" x14ac:dyDescent="0.25">
      <c r="G926" s="115"/>
      <c r="H926" s="115"/>
    </row>
    <row r="927" spans="7:8" ht="15.75" customHeight="1" x14ac:dyDescent="0.25">
      <c r="G927" s="115"/>
      <c r="H927" s="115"/>
    </row>
    <row r="928" spans="7:8" ht="15.75" customHeight="1" x14ac:dyDescent="0.25">
      <c r="G928" s="115"/>
      <c r="H928" s="115"/>
    </row>
    <row r="929" spans="7:8" ht="15.75" customHeight="1" x14ac:dyDescent="0.25">
      <c r="G929" s="115"/>
      <c r="H929" s="115"/>
    </row>
    <row r="930" spans="7:8" ht="15.75" customHeight="1" x14ac:dyDescent="0.25">
      <c r="G930" s="115"/>
      <c r="H930" s="115"/>
    </row>
    <row r="931" spans="7:8" ht="15.75" customHeight="1" x14ac:dyDescent="0.25">
      <c r="G931" s="115"/>
      <c r="H931" s="115"/>
    </row>
    <row r="932" spans="7:8" ht="15.75" customHeight="1" x14ac:dyDescent="0.25">
      <c r="G932" s="115"/>
      <c r="H932" s="115"/>
    </row>
    <row r="933" spans="7:8" ht="15.75" customHeight="1" x14ac:dyDescent="0.25">
      <c r="G933" s="115"/>
      <c r="H933" s="115"/>
    </row>
    <row r="934" spans="7:8" ht="15.75" customHeight="1" x14ac:dyDescent="0.25">
      <c r="G934" s="115"/>
      <c r="H934" s="115"/>
    </row>
    <row r="935" spans="7:8" ht="15.75" customHeight="1" x14ac:dyDescent="0.25">
      <c r="G935" s="115"/>
      <c r="H935" s="115"/>
    </row>
    <row r="936" spans="7:8" ht="15.75" customHeight="1" x14ac:dyDescent="0.25">
      <c r="G936" s="115"/>
      <c r="H936" s="115"/>
    </row>
    <row r="937" spans="7:8" ht="15.75" customHeight="1" x14ac:dyDescent="0.25">
      <c r="G937" s="115"/>
      <c r="H937" s="115"/>
    </row>
    <row r="938" spans="7:8" ht="15.75" customHeight="1" x14ac:dyDescent="0.25">
      <c r="G938" s="115"/>
      <c r="H938" s="115"/>
    </row>
    <row r="939" spans="7:8" ht="15.75" customHeight="1" x14ac:dyDescent="0.25">
      <c r="G939" s="115"/>
      <c r="H939" s="115"/>
    </row>
    <row r="940" spans="7:8" ht="15.75" customHeight="1" x14ac:dyDescent="0.25">
      <c r="G940" s="115"/>
      <c r="H940" s="115"/>
    </row>
    <row r="941" spans="7:8" ht="15.75" customHeight="1" x14ac:dyDescent="0.25">
      <c r="G941" s="115"/>
      <c r="H941" s="115"/>
    </row>
    <row r="942" spans="7:8" ht="15.75" customHeight="1" x14ac:dyDescent="0.25">
      <c r="G942" s="115"/>
      <c r="H942" s="115"/>
    </row>
    <row r="943" spans="7:8" ht="15.75" customHeight="1" x14ac:dyDescent="0.25">
      <c r="G943" s="115"/>
      <c r="H943" s="115"/>
    </row>
    <row r="944" spans="7:8" ht="15.75" customHeight="1" x14ac:dyDescent="0.25">
      <c r="G944" s="115"/>
      <c r="H944" s="115"/>
    </row>
    <row r="945" spans="7:8" ht="15.75" customHeight="1" x14ac:dyDescent="0.25">
      <c r="G945" s="115"/>
      <c r="H945" s="115"/>
    </row>
    <row r="946" spans="7:8" ht="15.75" customHeight="1" x14ac:dyDescent="0.25">
      <c r="G946" s="115"/>
      <c r="H946" s="115"/>
    </row>
    <row r="947" spans="7:8" ht="15.75" customHeight="1" x14ac:dyDescent="0.25">
      <c r="G947" s="115"/>
      <c r="H947" s="115"/>
    </row>
    <row r="948" spans="7:8" ht="15.75" customHeight="1" x14ac:dyDescent="0.25">
      <c r="G948" s="115"/>
      <c r="H948" s="115"/>
    </row>
    <row r="949" spans="7:8" ht="15.75" customHeight="1" x14ac:dyDescent="0.25">
      <c r="G949" s="115"/>
      <c r="H949" s="115"/>
    </row>
    <row r="950" spans="7:8" ht="15.75" customHeight="1" x14ac:dyDescent="0.25">
      <c r="G950" s="115"/>
      <c r="H950" s="115"/>
    </row>
    <row r="951" spans="7:8" ht="15.75" customHeight="1" x14ac:dyDescent="0.25">
      <c r="G951" s="115"/>
      <c r="H951" s="115"/>
    </row>
    <row r="952" spans="7:8" ht="15.75" customHeight="1" x14ac:dyDescent="0.25">
      <c r="G952" s="115"/>
      <c r="H952" s="115"/>
    </row>
    <row r="953" spans="7:8" ht="15.75" customHeight="1" x14ac:dyDescent="0.25">
      <c r="G953" s="115"/>
      <c r="H953" s="115"/>
    </row>
    <row r="954" spans="7:8" ht="15.75" customHeight="1" x14ac:dyDescent="0.25">
      <c r="G954" s="115"/>
      <c r="H954" s="115"/>
    </row>
    <row r="955" spans="7:8" ht="15.75" customHeight="1" x14ac:dyDescent="0.25">
      <c r="G955" s="115"/>
      <c r="H955" s="115"/>
    </row>
    <row r="956" spans="7:8" ht="15.75" customHeight="1" x14ac:dyDescent="0.25">
      <c r="G956" s="115"/>
      <c r="H956" s="115"/>
    </row>
    <row r="957" spans="7:8" ht="15.75" customHeight="1" x14ac:dyDescent="0.25">
      <c r="G957" s="115"/>
      <c r="H957" s="115"/>
    </row>
    <row r="958" spans="7:8" ht="15.75" customHeight="1" x14ac:dyDescent="0.25">
      <c r="G958" s="115"/>
      <c r="H958" s="115"/>
    </row>
    <row r="959" spans="7:8" ht="15.75" customHeight="1" x14ac:dyDescent="0.25">
      <c r="G959" s="115"/>
      <c r="H959" s="115"/>
    </row>
    <row r="960" spans="7:8" ht="15.75" customHeight="1" x14ac:dyDescent="0.25">
      <c r="G960" s="115"/>
      <c r="H960" s="115"/>
    </row>
    <row r="961" spans="7:8" ht="15.75" customHeight="1" x14ac:dyDescent="0.25">
      <c r="G961" s="115"/>
      <c r="H961" s="115"/>
    </row>
    <row r="962" spans="7:8" ht="15.75" customHeight="1" x14ac:dyDescent="0.25">
      <c r="G962" s="115"/>
      <c r="H962" s="115"/>
    </row>
    <row r="963" spans="7:8" ht="15.75" customHeight="1" x14ac:dyDescent="0.25">
      <c r="G963" s="115"/>
      <c r="H963" s="115"/>
    </row>
    <row r="964" spans="7:8" ht="15.75" customHeight="1" x14ac:dyDescent="0.25">
      <c r="G964" s="115"/>
      <c r="H964" s="115"/>
    </row>
    <row r="965" spans="7:8" ht="15.75" customHeight="1" x14ac:dyDescent="0.25">
      <c r="G965" s="115"/>
      <c r="H965" s="115"/>
    </row>
    <row r="966" spans="7:8" ht="15.75" customHeight="1" x14ac:dyDescent="0.25">
      <c r="G966" s="115"/>
      <c r="H966" s="115"/>
    </row>
    <row r="967" spans="7:8" ht="15.75" customHeight="1" x14ac:dyDescent="0.25">
      <c r="G967" s="115"/>
      <c r="H967" s="115"/>
    </row>
    <row r="968" spans="7:8" ht="15.75" customHeight="1" x14ac:dyDescent="0.25">
      <c r="G968" s="115"/>
      <c r="H968" s="115"/>
    </row>
    <row r="969" spans="7:8" ht="15.75" customHeight="1" x14ac:dyDescent="0.25">
      <c r="G969" s="115"/>
      <c r="H969" s="115"/>
    </row>
    <row r="970" spans="7:8" ht="15.75" customHeight="1" x14ac:dyDescent="0.25">
      <c r="G970" s="115"/>
      <c r="H970" s="115"/>
    </row>
    <row r="971" spans="7:8" ht="15.75" customHeight="1" x14ac:dyDescent="0.25">
      <c r="G971" s="115"/>
      <c r="H971" s="115"/>
    </row>
    <row r="972" spans="7:8" ht="15.75" customHeight="1" x14ac:dyDescent="0.25">
      <c r="G972" s="115"/>
      <c r="H972" s="115"/>
    </row>
    <row r="973" spans="7:8" ht="15.75" customHeight="1" x14ac:dyDescent="0.25">
      <c r="G973" s="115"/>
      <c r="H973" s="115"/>
    </row>
    <row r="974" spans="7:8" ht="15.75" customHeight="1" x14ac:dyDescent="0.25">
      <c r="G974" s="115"/>
      <c r="H974" s="115"/>
    </row>
    <row r="975" spans="7:8" ht="15.75" customHeight="1" x14ac:dyDescent="0.25">
      <c r="G975" s="115"/>
      <c r="H975" s="115"/>
    </row>
    <row r="976" spans="7:8" ht="15.75" customHeight="1" x14ac:dyDescent="0.25">
      <c r="G976" s="115"/>
      <c r="H976" s="115"/>
    </row>
    <row r="977" spans="7:8" ht="15.75" customHeight="1" x14ac:dyDescent="0.25">
      <c r="G977" s="115"/>
      <c r="H977" s="115"/>
    </row>
    <row r="978" spans="7:8" ht="15.75" customHeight="1" x14ac:dyDescent="0.25">
      <c r="G978" s="115"/>
      <c r="H978" s="115"/>
    </row>
    <row r="979" spans="7:8" ht="15.75" customHeight="1" x14ac:dyDescent="0.25">
      <c r="G979" s="115"/>
      <c r="H979" s="115"/>
    </row>
    <row r="980" spans="7:8" ht="15.75" customHeight="1" x14ac:dyDescent="0.25">
      <c r="G980" s="115"/>
      <c r="H980" s="115"/>
    </row>
    <row r="981" spans="7:8" ht="15.75" customHeight="1" x14ac:dyDescent="0.25">
      <c r="G981" s="115"/>
      <c r="H981" s="115"/>
    </row>
    <row r="982" spans="7:8" ht="15.75" customHeight="1" x14ac:dyDescent="0.25">
      <c r="G982" s="115"/>
      <c r="H982" s="115"/>
    </row>
    <row r="983" spans="7:8" ht="15.75" customHeight="1" x14ac:dyDescent="0.25">
      <c r="G983" s="115"/>
      <c r="H983" s="115"/>
    </row>
    <row r="984" spans="7:8" ht="15.75" customHeight="1" x14ac:dyDescent="0.25">
      <c r="G984" s="115"/>
      <c r="H984" s="115"/>
    </row>
    <row r="985" spans="7:8" ht="15.75" customHeight="1" x14ac:dyDescent="0.25">
      <c r="G985" s="115"/>
      <c r="H985" s="115"/>
    </row>
    <row r="986" spans="7:8" ht="15.75" customHeight="1" x14ac:dyDescent="0.25">
      <c r="G986" s="115"/>
      <c r="H986" s="115"/>
    </row>
    <row r="987" spans="7:8" ht="15.75" customHeight="1" x14ac:dyDescent="0.25">
      <c r="G987" s="115"/>
      <c r="H987" s="115"/>
    </row>
    <row r="988" spans="7:8" ht="15.75" customHeight="1" x14ac:dyDescent="0.25">
      <c r="G988" s="115"/>
      <c r="H988" s="115"/>
    </row>
    <row r="989" spans="7:8" ht="15.75" customHeight="1" x14ac:dyDescent="0.25">
      <c r="G989" s="115"/>
      <c r="H989" s="115"/>
    </row>
    <row r="990" spans="7:8" ht="15.75" customHeight="1" x14ac:dyDescent="0.25">
      <c r="G990" s="115"/>
      <c r="H990" s="115"/>
    </row>
    <row r="991" spans="7:8" ht="15.75" customHeight="1" x14ac:dyDescent="0.25">
      <c r="G991" s="115"/>
      <c r="H991" s="115"/>
    </row>
    <row r="992" spans="7:8" ht="15.75" customHeight="1" x14ac:dyDescent="0.25">
      <c r="G992" s="115"/>
      <c r="H992" s="115"/>
    </row>
    <row r="993" spans="7:8" ht="15.75" customHeight="1" x14ac:dyDescent="0.25">
      <c r="G993" s="115"/>
      <c r="H993" s="115"/>
    </row>
    <row r="994" spans="7:8" ht="15.75" customHeight="1" x14ac:dyDescent="0.25">
      <c r="G994" s="115"/>
      <c r="H994" s="115"/>
    </row>
    <row r="995" spans="7:8" ht="15.75" customHeight="1" x14ac:dyDescent="0.25">
      <c r="G995" s="115"/>
      <c r="H995" s="115"/>
    </row>
    <row r="996" spans="7:8" ht="15.75" customHeight="1" x14ac:dyDescent="0.25">
      <c r="G996" s="115"/>
      <c r="H996" s="115"/>
    </row>
    <row r="997" spans="7:8" ht="15.75" customHeight="1" x14ac:dyDescent="0.25">
      <c r="G997" s="115"/>
      <c r="H997" s="115"/>
    </row>
    <row r="998" spans="7:8" ht="15.75" customHeight="1" x14ac:dyDescent="0.25">
      <c r="G998" s="115"/>
      <c r="H998" s="115"/>
    </row>
    <row r="999" spans="7:8" ht="15.75" customHeight="1" x14ac:dyDescent="0.25">
      <c r="G999" s="115"/>
      <c r="H999" s="115"/>
    </row>
    <row r="1000" spans="7:8" ht="15.75" customHeight="1" x14ac:dyDescent="0.25">
      <c r="G1000" s="115"/>
      <c r="H1000" s="115"/>
    </row>
  </sheetData>
  <customSheetViews>
    <customSheetView guid="{79CB312A-EBB6-416E-9E38-5E5B8667A4DE}" filter="1" showAutoFilter="1">
      <pageMargins left="0.7" right="0.7" top="0.75" bottom="0.75" header="0.3" footer="0.3"/>
      <autoFilter ref="A1:H31" xr:uid="{E06DDA9E-4D5F-4DC9-B5DF-88F64F5CA477}"/>
      <extLst>
        <ext uri="GoogleSheetsCustomDataVersion1">
          <go:sheetsCustomData xmlns:go="http://customooxmlschemas.google.com/" filterViewId="2042470048"/>
        </ext>
      </extLst>
    </customSheetView>
  </customSheetViews>
  <dataValidations count="3">
    <dataValidation type="list" allowBlank="1" sqref="C2:C31" xr:uid="{00000000-0002-0000-0200-000000000000}">
      <formula1>"Laki-laki,Perempuan"</formula1>
    </dataValidation>
    <dataValidation allowBlank="1" showDropDown="1" sqref="G2:H31" xr:uid="{00000000-0002-0000-0200-000001000000}"/>
    <dataValidation type="custom" allowBlank="1" showDropDown="1" sqref="A2:A31 F2:F31" xr:uid="{00000000-0002-0000-0200-000002000000}"/>
  </dataValidation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F1000"/>
  <sheetViews>
    <sheetView workbookViewId="0">
      <pane ySplit="1" topLeftCell="A20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2.6640625" customWidth="1"/>
    <col min="2" max="2" width="23.33203125" customWidth="1"/>
    <col min="3" max="3" width="15.109375" customWidth="1"/>
    <col min="4" max="4" width="25.6640625" customWidth="1"/>
    <col min="5" max="5" width="37.5546875" bestFit="1" customWidth="1"/>
    <col min="6" max="6" width="9" bestFit="1" customWidth="1"/>
    <col min="7" max="7" width="15.21875" bestFit="1" customWidth="1"/>
    <col min="8" max="8" width="21.21875" customWidth="1"/>
    <col min="9" max="9" width="20.44140625" customWidth="1"/>
  </cols>
  <sheetData>
    <row r="1" spans="1:32" ht="22.5" customHeight="1" x14ac:dyDescent="0.25">
      <c r="A1" s="1" t="s">
        <v>0</v>
      </c>
      <c r="B1" s="3" t="s">
        <v>2</v>
      </c>
      <c r="C1" s="1" t="s">
        <v>3</v>
      </c>
      <c r="D1" s="3" t="s">
        <v>4</v>
      </c>
      <c r="E1" s="1" t="s">
        <v>6</v>
      </c>
      <c r="F1" s="4" t="s">
        <v>8</v>
      </c>
      <c r="G1" s="4" t="s">
        <v>11</v>
      </c>
      <c r="H1" s="5" t="s">
        <v>13</v>
      </c>
      <c r="I1" s="6" t="s">
        <v>16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ht="22.5" customHeight="1" x14ac:dyDescent="0.25">
      <c r="A2" s="16">
        <v>1</v>
      </c>
      <c r="B2" s="17" t="s">
        <v>23</v>
      </c>
      <c r="C2" s="21" t="s">
        <v>20</v>
      </c>
      <c r="D2" s="23" t="s">
        <v>27</v>
      </c>
      <c r="E2" s="27" t="s">
        <v>29</v>
      </c>
      <c r="F2" s="29"/>
      <c r="G2" s="32" t="s">
        <v>33</v>
      </c>
      <c r="H2" s="34" t="s">
        <v>35</v>
      </c>
      <c r="I2" s="35" t="s">
        <v>37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ht="22.5" customHeight="1" x14ac:dyDescent="0.25">
      <c r="A3" s="42">
        <v>2</v>
      </c>
      <c r="B3" s="17" t="s">
        <v>46</v>
      </c>
      <c r="C3" s="44" t="s">
        <v>20</v>
      </c>
      <c r="D3" s="46" t="s">
        <v>50</v>
      </c>
      <c r="E3" s="49" t="s">
        <v>53</v>
      </c>
      <c r="F3" s="50"/>
      <c r="G3" s="51" t="s">
        <v>56</v>
      </c>
      <c r="H3" s="54" t="s">
        <v>58</v>
      </c>
      <c r="I3" s="54" t="s">
        <v>61</v>
      </c>
    </row>
    <row r="4" spans="1:32" ht="22.5" customHeight="1" x14ac:dyDescent="0.25">
      <c r="A4" s="42">
        <v>3</v>
      </c>
      <c r="B4" s="17" t="s">
        <v>65</v>
      </c>
      <c r="C4" s="44" t="s">
        <v>20</v>
      </c>
      <c r="D4" s="46" t="s">
        <v>68</v>
      </c>
      <c r="E4" s="49" t="s">
        <v>70</v>
      </c>
      <c r="F4" s="50"/>
      <c r="G4" s="51" t="s">
        <v>73</v>
      </c>
      <c r="H4" s="54" t="s">
        <v>76</v>
      </c>
      <c r="I4" s="54" t="s">
        <v>78</v>
      </c>
    </row>
    <row r="5" spans="1:32" ht="22.5" customHeight="1" x14ac:dyDescent="0.25">
      <c r="A5" s="42">
        <v>4</v>
      </c>
      <c r="B5" s="17" t="s">
        <v>84</v>
      </c>
      <c r="C5" s="44" t="s">
        <v>20</v>
      </c>
      <c r="D5" s="46" t="s">
        <v>87</v>
      </c>
      <c r="E5" s="49" t="s">
        <v>89</v>
      </c>
      <c r="F5" s="50"/>
      <c r="G5" s="51" t="s">
        <v>92</v>
      </c>
      <c r="H5" s="54" t="s">
        <v>94</v>
      </c>
      <c r="I5" s="54" t="s">
        <v>95</v>
      </c>
    </row>
    <row r="6" spans="1:32" ht="22.5" customHeight="1" x14ac:dyDescent="0.25">
      <c r="A6" s="16">
        <v>5</v>
      </c>
      <c r="B6" s="17" t="s">
        <v>99</v>
      </c>
      <c r="C6" s="44" t="s">
        <v>20</v>
      </c>
      <c r="D6" s="46" t="s">
        <v>102</v>
      </c>
      <c r="E6" s="49" t="s">
        <v>104</v>
      </c>
      <c r="F6" s="50"/>
      <c r="G6" s="51" t="s">
        <v>106</v>
      </c>
      <c r="H6" s="54" t="s">
        <v>107</v>
      </c>
      <c r="I6" s="54" t="s">
        <v>109</v>
      </c>
    </row>
    <row r="7" spans="1:32" ht="22.5" customHeight="1" x14ac:dyDescent="0.25">
      <c r="A7" s="42">
        <v>6</v>
      </c>
      <c r="B7" s="17" t="s">
        <v>113</v>
      </c>
      <c r="C7" s="44" t="s">
        <v>20</v>
      </c>
      <c r="D7" s="46" t="s">
        <v>87</v>
      </c>
      <c r="E7" s="49" t="s">
        <v>117</v>
      </c>
      <c r="F7" s="50"/>
      <c r="G7" s="51" t="s">
        <v>120</v>
      </c>
      <c r="H7" s="54" t="s">
        <v>94</v>
      </c>
      <c r="I7" s="54" t="s">
        <v>95</v>
      </c>
      <c r="J7" s="71"/>
      <c r="K7" s="72"/>
      <c r="L7" s="72"/>
      <c r="M7" s="72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73"/>
    </row>
    <row r="8" spans="1:32" ht="22.5" customHeight="1" x14ac:dyDescent="0.25">
      <c r="A8" s="42">
        <v>7</v>
      </c>
      <c r="B8" s="17" t="s">
        <v>139</v>
      </c>
      <c r="C8" s="44" t="s">
        <v>20</v>
      </c>
      <c r="D8" s="46" t="s">
        <v>27</v>
      </c>
      <c r="E8" s="49" t="s">
        <v>142</v>
      </c>
      <c r="F8" s="50"/>
      <c r="G8" s="51" t="s">
        <v>146</v>
      </c>
      <c r="H8" s="34" t="s">
        <v>35</v>
      </c>
      <c r="I8" s="35" t="s">
        <v>37</v>
      </c>
      <c r="J8" s="71"/>
      <c r="K8" s="78"/>
      <c r="L8" s="78"/>
      <c r="M8" s="78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73"/>
    </row>
    <row r="9" spans="1:32" ht="22.5" customHeight="1" x14ac:dyDescent="0.25">
      <c r="A9" s="42">
        <v>8</v>
      </c>
      <c r="B9" s="17" t="s">
        <v>157</v>
      </c>
      <c r="C9" s="44" t="s">
        <v>44</v>
      </c>
      <c r="D9" s="46" t="s">
        <v>27</v>
      </c>
      <c r="E9" s="49" t="s">
        <v>159</v>
      </c>
      <c r="F9" s="50"/>
      <c r="G9" s="51" t="s">
        <v>162</v>
      </c>
      <c r="H9" s="34" t="s">
        <v>35</v>
      </c>
      <c r="I9" s="35" t="s">
        <v>37</v>
      </c>
      <c r="J9" s="71"/>
      <c r="K9" s="72"/>
      <c r="L9" s="72"/>
      <c r="M9" s="72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73"/>
    </row>
    <row r="10" spans="1:32" ht="22.5" customHeight="1" x14ac:dyDescent="0.25">
      <c r="A10" s="16">
        <v>9</v>
      </c>
      <c r="B10" s="17" t="s">
        <v>173</v>
      </c>
      <c r="C10" s="44" t="s">
        <v>44</v>
      </c>
      <c r="D10" s="46" t="s">
        <v>178</v>
      </c>
      <c r="E10" s="49" t="s">
        <v>179</v>
      </c>
      <c r="F10" s="50"/>
      <c r="G10" s="51" t="s">
        <v>180</v>
      </c>
      <c r="H10" s="54" t="s">
        <v>182</v>
      </c>
      <c r="I10" s="54" t="s">
        <v>184</v>
      </c>
      <c r="J10" s="71"/>
      <c r="K10" s="78"/>
      <c r="L10" s="78"/>
      <c r="M10" s="78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73"/>
    </row>
    <row r="11" spans="1:32" ht="22.5" customHeight="1" x14ac:dyDescent="0.25">
      <c r="A11" s="42">
        <v>10</v>
      </c>
      <c r="B11" s="17" t="s">
        <v>192</v>
      </c>
      <c r="C11" s="44" t="s">
        <v>20</v>
      </c>
      <c r="D11" s="46" t="s">
        <v>27</v>
      </c>
      <c r="E11" s="49" t="s">
        <v>197</v>
      </c>
      <c r="F11" s="49"/>
      <c r="G11" s="85" t="s">
        <v>201</v>
      </c>
      <c r="H11" s="34" t="s">
        <v>35</v>
      </c>
      <c r="I11" s="35" t="s">
        <v>37</v>
      </c>
      <c r="J11" s="71"/>
      <c r="K11" s="78"/>
      <c r="L11" s="78"/>
      <c r="M11" s="78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73"/>
    </row>
    <row r="12" spans="1:32" ht="22.5" customHeight="1" x14ac:dyDescent="0.25">
      <c r="A12" s="42">
        <v>11</v>
      </c>
      <c r="B12" s="17" t="s">
        <v>213</v>
      </c>
      <c r="C12" s="44" t="s">
        <v>20</v>
      </c>
      <c r="D12" s="46" t="s">
        <v>216</v>
      </c>
      <c r="E12" s="49" t="s">
        <v>217</v>
      </c>
      <c r="F12" s="50"/>
      <c r="G12" s="51" t="s">
        <v>219</v>
      </c>
      <c r="H12" s="54" t="s">
        <v>222</v>
      </c>
      <c r="I12" s="54" t="s">
        <v>224</v>
      </c>
      <c r="J12" s="71"/>
      <c r="K12" s="78" t="s">
        <v>227</v>
      </c>
      <c r="L12" s="78"/>
      <c r="M12" s="78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73"/>
    </row>
    <row r="13" spans="1:32" ht="22.5" customHeight="1" x14ac:dyDescent="0.25">
      <c r="A13" s="42">
        <v>12</v>
      </c>
      <c r="B13" s="90" t="s">
        <v>235</v>
      </c>
      <c r="C13" s="44" t="s">
        <v>20</v>
      </c>
      <c r="D13" s="46" t="s">
        <v>242</v>
      </c>
      <c r="E13" s="49" t="s">
        <v>245</v>
      </c>
      <c r="F13" s="50"/>
      <c r="G13" s="51" t="s">
        <v>249</v>
      </c>
      <c r="H13" s="54" t="s">
        <v>251</v>
      </c>
      <c r="I13" s="54" t="s">
        <v>253</v>
      </c>
      <c r="J13" s="71"/>
      <c r="K13" s="78"/>
      <c r="L13" s="78"/>
      <c r="M13" s="78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73"/>
    </row>
    <row r="14" spans="1:32" ht="22.5" customHeight="1" x14ac:dyDescent="0.25">
      <c r="A14" s="16">
        <v>13</v>
      </c>
      <c r="B14" s="17" t="s">
        <v>263</v>
      </c>
      <c r="C14" s="44" t="s">
        <v>20</v>
      </c>
      <c r="D14" s="46" t="s">
        <v>266</v>
      </c>
      <c r="E14" s="49" t="s">
        <v>270</v>
      </c>
      <c r="F14" s="50"/>
      <c r="G14" s="51" t="s">
        <v>273</v>
      </c>
      <c r="H14" s="54" t="s">
        <v>275</v>
      </c>
      <c r="I14" s="54" t="s">
        <v>276</v>
      </c>
      <c r="J14" s="71"/>
      <c r="K14" s="78"/>
      <c r="L14" s="78"/>
      <c r="M14" s="78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73"/>
    </row>
    <row r="15" spans="1:32" ht="22.5" customHeight="1" x14ac:dyDescent="0.25">
      <c r="A15" s="42">
        <v>14</v>
      </c>
      <c r="B15" s="17" t="s">
        <v>283</v>
      </c>
      <c r="C15" s="44" t="s">
        <v>20</v>
      </c>
      <c r="D15" s="46" t="s">
        <v>288</v>
      </c>
      <c r="E15" s="49" t="s">
        <v>292</v>
      </c>
      <c r="F15" s="50"/>
      <c r="G15" s="51" t="s">
        <v>295</v>
      </c>
      <c r="H15" s="54" t="s">
        <v>296</v>
      </c>
      <c r="I15" s="54" t="s">
        <v>298</v>
      </c>
      <c r="J15" s="71"/>
      <c r="K15" s="78"/>
      <c r="L15" s="78"/>
      <c r="M15" s="78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73"/>
    </row>
    <row r="16" spans="1:32" ht="22.5" customHeight="1" x14ac:dyDescent="0.25">
      <c r="A16" s="42">
        <v>15</v>
      </c>
      <c r="B16" s="17" t="s">
        <v>303</v>
      </c>
      <c r="C16" s="44" t="s">
        <v>44</v>
      </c>
      <c r="D16" s="46" t="s">
        <v>307</v>
      </c>
      <c r="E16" s="49" t="s">
        <v>310</v>
      </c>
      <c r="F16" s="50"/>
      <c r="G16" s="51" t="s">
        <v>315</v>
      </c>
      <c r="H16" s="54" t="s">
        <v>316</v>
      </c>
      <c r="I16" s="54" t="s">
        <v>319</v>
      </c>
      <c r="J16" s="71"/>
      <c r="K16" s="78"/>
      <c r="L16" s="78"/>
      <c r="M16" s="78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73"/>
    </row>
    <row r="17" spans="1:32" ht="22.5" customHeight="1" x14ac:dyDescent="0.25">
      <c r="A17" s="42">
        <v>16</v>
      </c>
      <c r="B17" s="17" t="s">
        <v>327</v>
      </c>
      <c r="C17" s="44" t="s">
        <v>20</v>
      </c>
      <c r="D17" s="46" t="s">
        <v>330</v>
      </c>
      <c r="E17" s="49" t="s">
        <v>333</v>
      </c>
      <c r="F17" s="50"/>
      <c r="G17" s="51" t="s">
        <v>335</v>
      </c>
      <c r="H17" s="54" t="s">
        <v>337</v>
      </c>
      <c r="I17" s="54" t="s">
        <v>340</v>
      </c>
      <c r="J17" s="71"/>
      <c r="K17" s="78"/>
      <c r="L17" s="78"/>
      <c r="M17" s="78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73"/>
    </row>
    <row r="18" spans="1:32" ht="22.5" customHeight="1" x14ac:dyDescent="0.25">
      <c r="A18" s="16">
        <v>17</v>
      </c>
      <c r="B18" s="17" t="s">
        <v>348</v>
      </c>
      <c r="C18" s="44" t="s">
        <v>20</v>
      </c>
      <c r="D18" s="46" t="s">
        <v>216</v>
      </c>
      <c r="E18" s="49" t="s">
        <v>354</v>
      </c>
      <c r="F18" s="50"/>
      <c r="G18" s="51" t="s">
        <v>357</v>
      </c>
      <c r="H18" s="54" t="s">
        <v>222</v>
      </c>
      <c r="I18" s="54" t="s">
        <v>224</v>
      </c>
      <c r="J18" s="71"/>
      <c r="K18" s="78"/>
      <c r="L18" s="78"/>
      <c r="M18" s="78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73"/>
    </row>
    <row r="19" spans="1:32" ht="22.5" customHeight="1" x14ac:dyDescent="0.25">
      <c r="A19" s="42">
        <v>18</v>
      </c>
      <c r="B19" s="17" t="s">
        <v>365</v>
      </c>
      <c r="C19" s="44" t="s">
        <v>20</v>
      </c>
      <c r="D19" s="46" t="s">
        <v>368</v>
      </c>
      <c r="E19" s="49" t="s">
        <v>369</v>
      </c>
      <c r="F19" s="50"/>
      <c r="G19" s="94" t="s">
        <v>371</v>
      </c>
      <c r="H19" s="54" t="s">
        <v>377</v>
      </c>
      <c r="I19" s="54" t="s">
        <v>380</v>
      </c>
      <c r="J19" s="71"/>
      <c r="K19" s="78"/>
      <c r="L19" s="78"/>
      <c r="M19" s="78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73"/>
    </row>
    <row r="20" spans="1:32" ht="22.5" customHeight="1" x14ac:dyDescent="0.25">
      <c r="A20" s="42">
        <v>19</v>
      </c>
      <c r="B20" s="17" t="s">
        <v>386</v>
      </c>
      <c r="C20" s="44" t="s">
        <v>20</v>
      </c>
      <c r="D20" s="46" t="s">
        <v>388</v>
      </c>
      <c r="E20" s="49" t="s">
        <v>389</v>
      </c>
      <c r="F20" s="50"/>
      <c r="G20" s="51" t="s">
        <v>393</v>
      </c>
      <c r="H20" s="54" t="s">
        <v>396</v>
      </c>
      <c r="I20" s="54" t="s">
        <v>397</v>
      </c>
      <c r="J20" s="71"/>
      <c r="K20" s="78"/>
      <c r="L20" s="78"/>
      <c r="M20" s="78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73"/>
    </row>
    <row r="21" spans="1:32" ht="22.5" customHeight="1" x14ac:dyDescent="0.25">
      <c r="A21" s="42">
        <v>20</v>
      </c>
      <c r="B21" s="17" t="s">
        <v>405</v>
      </c>
      <c r="C21" s="44" t="s">
        <v>20</v>
      </c>
      <c r="D21" s="46" t="s">
        <v>408</v>
      </c>
      <c r="E21" s="49" t="s">
        <v>410</v>
      </c>
      <c r="F21" s="50"/>
      <c r="G21" s="51" t="s">
        <v>413</v>
      </c>
      <c r="H21" s="54" t="s">
        <v>418</v>
      </c>
      <c r="I21" s="54" t="s">
        <v>420</v>
      </c>
      <c r="J21" s="71"/>
      <c r="K21" s="78"/>
      <c r="L21" s="78"/>
      <c r="M21" s="78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73"/>
    </row>
    <row r="22" spans="1:32" ht="22.5" customHeight="1" x14ac:dyDescent="0.25">
      <c r="A22" s="16">
        <v>21</v>
      </c>
      <c r="B22" s="17" t="s">
        <v>427</v>
      </c>
      <c r="C22" s="44" t="s">
        <v>20</v>
      </c>
      <c r="D22" s="46" t="s">
        <v>430</v>
      </c>
      <c r="E22" s="49" t="s">
        <v>431</v>
      </c>
      <c r="F22" s="50"/>
      <c r="G22" s="51" t="s">
        <v>433</v>
      </c>
      <c r="H22" s="54" t="s">
        <v>436</v>
      </c>
      <c r="I22" s="54" t="s">
        <v>438</v>
      </c>
      <c r="J22" s="71"/>
      <c r="K22" s="78"/>
      <c r="L22" s="78"/>
      <c r="M22" s="78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73"/>
    </row>
    <row r="23" spans="1:32" ht="22.5" customHeight="1" x14ac:dyDescent="0.25">
      <c r="A23" s="42">
        <v>22</v>
      </c>
      <c r="B23" s="17" t="s">
        <v>449</v>
      </c>
      <c r="C23" s="44" t="s">
        <v>44</v>
      </c>
      <c r="D23" s="46" t="s">
        <v>451</v>
      </c>
      <c r="E23" s="49" t="s">
        <v>452</v>
      </c>
      <c r="F23" s="50"/>
      <c r="G23" s="51" t="s">
        <v>456</v>
      </c>
      <c r="H23" s="54" t="s">
        <v>458</v>
      </c>
      <c r="I23" s="54" t="s">
        <v>462</v>
      </c>
      <c r="J23" s="71"/>
      <c r="K23" s="78"/>
      <c r="L23" s="78"/>
      <c r="M23" s="78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73"/>
    </row>
    <row r="24" spans="1:32" ht="22.5" customHeight="1" x14ac:dyDescent="0.25">
      <c r="A24" s="42">
        <v>23</v>
      </c>
      <c r="B24" s="17" t="s">
        <v>469</v>
      </c>
      <c r="C24" s="44" t="s">
        <v>44</v>
      </c>
      <c r="D24" s="46" t="s">
        <v>472</v>
      </c>
      <c r="E24" s="49" t="s">
        <v>476</v>
      </c>
      <c r="F24" s="50"/>
      <c r="G24" s="51" t="s">
        <v>481</v>
      </c>
      <c r="H24" s="54" t="s">
        <v>485</v>
      </c>
      <c r="I24" s="54" t="s">
        <v>486</v>
      </c>
      <c r="J24" s="71"/>
      <c r="K24" s="78"/>
      <c r="L24" s="78"/>
      <c r="M24" s="78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73"/>
    </row>
    <row r="25" spans="1:32" ht="22.5" customHeight="1" x14ac:dyDescent="0.25">
      <c r="A25" s="42">
        <v>24</v>
      </c>
      <c r="B25" s="17" t="s">
        <v>491</v>
      </c>
      <c r="C25" s="44" t="s">
        <v>20</v>
      </c>
      <c r="D25" s="46" t="s">
        <v>496</v>
      </c>
      <c r="E25" s="49" t="s">
        <v>498</v>
      </c>
      <c r="F25" s="50"/>
      <c r="G25" s="51" t="s">
        <v>502</v>
      </c>
      <c r="H25" s="54" t="s">
        <v>504</v>
      </c>
      <c r="I25" s="54" t="s">
        <v>507</v>
      </c>
      <c r="J25" s="71"/>
      <c r="K25" s="72"/>
      <c r="L25" s="72"/>
      <c r="M25" s="72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73"/>
    </row>
    <row r="26" spans="1:32" ht="22.5" customHeight="1" x14ac:dyDescent="0.25">
      <c r="A26" s="16">
        <v>25</v>
      </c>
      <c r="B26" s="17" t="s">
        <v>518</v>
      </c>
      <c r="C26" s="44" t="s">
        <v>20</v>
      </c>
      <c r="D26" s="46" t="s">
        <v>388</v>
      </c>
      <c r="E26" s="49" t="s">
        <v>521</v>
      </c>
      <c r="F26" s="50"/>
      <c r="G26" s="51" t="s">
        <v>526</v>
      </c>
      <c r="H26" s="54" t="s">
        <v>396</v>
      </c>
      <c r="I26" s="54" t="s">
        <v>397</v>
      </c>
      <c r="J26" s="71"/>
      <c r="K26" s="78"/>
      <c r="L26" s="78"/>
      <c r="M26" s="78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73"/>
    </row>
    <row r="27" spans="1:32" ht="22.5" customHeight="1" x14ac:dyDescent="0.25">
      <c r="A27" s="42">
        <v>26</v>
      </c>
      <c r="B27" s="17" t="s">
        <v>534</v>
      </c>
      <c r="C27" s="44" t="s">
        <v>44</v>
      </c>
      <c r="D27" s="46" t="s">
        <v>538</v>
      </c>
      <c r="E27" s="49" t="s">
        <v>541</v>
      </c>
      <c r="F27" s="50"/>
      <c r="G27" s="51" t="s">
        <v>544</v>
      </c>
      <c r="H27" s="54" t="s">
        <v>547</v>
      </c>
      <c r="I27" s="54" t="s">
        <v>548</v>
      </c>
      <c r="J27" s="71"/>
      <c r="K27" s="72"/>
      <c r="L27" s="72"/>
      <c r="M27" s="72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73"/>
    </row>
    <row r="28" spans="1:32" ht="22.5" customHeight="1" x14ac:dyDescent="0.25">
      <c r="A28" s="42">
        <v>27</v>
      </c>
      <c r="B28" s="17" t="s">
        <v>559</v>
      </c>
      <c r="C28" s="44" t="s">
        <v>20</v>
      </c>
      <c r="D28" s="46" t="s">
        <v>565</v>
      </c>
      <c r="E28" s="49" t="s">
        <v>566</v>
      </c>
      <c r="F28" s="50"/>
      <c r="G28" s="51" t="s">
        <v>568</v>
      </c>
      <c r="H28" s="54" t="s">
        <v>570</v>
      </c>
      <c r="I28" s="54" t="s">
        <v>572</v>
      </c>
      <c r="J28" s="71"/>
      <c r="K28" s="78"/>
      <c r="L28" s="78"/>
      <c r="M28" s="78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73"/>
    </row>
    <row r="29" spans="1:32" ht="22.5" customHeight="1" x14ac:dyDescent="0.25">
      <c r="A29" s="42">
        <v>28</v>
      </c>
      <c r="B29" s="17" t="s">
        <v>577</v>
      </c>
      <c r="C29" s="44" t="s">
        <v>44</v>
      </c>
      <c r="D29" s="46" t="s">
        <v>583</v>
      </c>
      <c r="E29" s="49" t="s">
        <v>587</v>
      </c>
      <c r="F29" s="50"/>
      <c r="G29" s="51" t="s">
        <v>591</v>
      </c>
      <c r="H29" s="54" t="s">
        <v>592</v>
      </c>
      <c r="I29" s="54" t="s">
        <v>593</v>
      </c>
      <c r="J29" s="71"/>
      <c r="K29" s="72"/>
      <c r="L29" s="72"/>
      <c r="M29" s="72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73"/>
    </row>
    <row r="30" spans="1:32" ht="22.5" customHeight="1" x14ac:dyDescent="0.25">
      <c r="A30" s="16">
        <v>29</v>
      </c>
      <c r="B30" s="17" t="s">
        <v>597</v>
      </c>
      <c r="C30" s="44" t="s">
        <v>20</v>
      </c>
      <c r="D30" s="46" t="s">
        <v>601</v>
      </c>
      <c r="E30" s="49" t="s">
        <v>602</v>
      </c>
      <c r="F30" s="50"/>
      <c r="G30" s="51" t="s">
        <v>603</v>
      </c>
      <c r="H30" s="54" t="s">
        <v>94</v>
      </c>
      <c r="I30" s="54" t="s">
        <v>95</v>
      </c>
      <c r="J30" s="71"/>
      <c r="K30" s="78"/>
      <c r="L30" s="78"/>
      <c r="M30" s="78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73"/>
    </row>
    <row r="31" spans="1:32" ht="22.5" customHeight="1" x14ac:dyDescent="0.25">
      <c r="A31" s="42">
        <v>30</v>
      </c>
      <c r="B31" s="17" t="s">
        <v>610</v>
      </c>
      <c r="C31" s="44" t="s">
        <v>20</v>
      </c>
      <c r="D31" s="46" t="s">
        <v>612</v>
      </c>
      <c r="E31" s="49" t="s">
        <v>614</v>
      </c>
      <c r="F31" s="50"/>
      <c r="G31" s="51" t="s">
        <v>616</v>
      </c>
      <c r="H31" s="54" t="s">
        <v>617</v>
      </c>
      <c r="I31" s="54" t="s">
        <v>619</v>
      </c>
      <c r="J31" s="71"/>
      <c r="K31" s="72"/>
      <c r="L31" s="72"/>
      <c r="M31" s="72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73"/>
    </row>
    <row r="32" spans="1:32" ht="22.5" customHeight="1" x14ac:dyDescent="0.25">
      <c r="A32" s="16">
        <v>31</v>
      </c>
      <c r="B32" s="17" t="s">
        <v>620</v>
      </c>
      <c r="C32" s="44" t="s">
        <v>20</v>
      </c>
      <c r="D32" s="46" t="s">
        <v>623</v>
      </c>
      <c r="E32" s="49" t="s">
        <v>625</v>
      </c>
      <c r="F32" s="50"/>
      <c r="G32" s="51" t="s">
        <v>627</v>
      </c>
      <c r="H32" s="54" t="s">
        <v>629</v>
      </c>
      <c r="I32" s="54" t="s">
        <v>631</v>
      </c>
      <c r="J32" s="71"/>
      <c r="K32" s="78"/>
      <c r="L32" s="78"/>
      <c r="M32" s="78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73"/>
    </row>
    <row r="33" spans="1:32" ht="22.5" customHeight="1" x14ac:dyDescent="0.25">
      <c r="A33" s="42">
        <v>32</v>
      </c>
      <c r="B33" s="17" t="s">
        <v>633</v>
      </c>
      <c r="C33" s="44" t="s">
        <v>20</v>
      </c>
      <c r="D33" s="46" t="s">
        <v>27</v>
      </c>
      <c r="E33" s="49" t="s">
        <v>635</v>
      </c>
      <c r="F33" s="50"/>
      <c r="G33" s="51" t="s">
        <v>636</v>
      </c>
      <c r="H33" s="28" t="s">
        <v>35</v>
      </c>
      <c r="I33" s="112" t="s">
        <v>37</v>
      </c>
      <c r="J33" s="71"/>
      <c r="K33" s="72"/>
      <c r="L33" s="72"/>
      <c r="M33" s="72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73"/>
    </row>
    <row r="34" spans="1:32" ht="22.5" customHeight="1" x14ac:dyDescent="0.25">
      <c r="A34" s="42">
        <v>33</v>
      </c>
      <c r="B34" s="17" t="s">
        <v>642</v>
      </c>
      <c r="C34" s="44" t="s">
        <v>20</v>
      </c>
      <c r="D34" s="46" t="s">
        <v>27</v>
      </c>
      <c r="E34" s="49" t="s">
        <v>644</v>
      </c>
      <c r="F34" s="50"/>
      <c r="G34" s="51" t="s">
        <v>646</v>
      </c>
      <c r="H34" s="28" t="s">
        <v>35</v>
      </c>
      <c r="I34" s="112" t="s">
        <v>37</v>
      </c>
      <c r="J34" s="71"/>
      <c r="K34" s="78"/>
      <c r="L34" s="78"/>
      <c r="M34" s="78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73"/>
    </row>
    <row r="35" spans="1:32" ht="22.5" customHeight="1" x14ac:dyDescent="0.25">
      <c r="A35" s="42">
        <v>34</v>
      </c>
      <c r="B35" s="17" t="s">
        <v>651</v>
      </c>
      <c r="C35" s="44" t="s">
        <v>44</v>
      </c>
      <c r="D35" s="46" t="s">
        <v>654</v>
      </c>
      <c r="E35" s="49" t="s">
        <v>655</v>
      </c>
      <c r="F35" s="50"/>
      <c r="G35" s="51" t="s">
        <v>657</v>
      </c>
      <c r="H35" s="54" t="s">
        <v>658</v>
      </c>
      <c r="I35" s="54" t="s">
        <v>660</v>
      </c>
      <c r="J35" s="71"/>
      <c r="K35" s="72"/>
      <c r="L35" s="72"/>
      <c r="M35" s="72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73"/>
    </row>
    <row r="36" spans="1:32" ht="22.5" customHeight="1" x14ac:dyDescent="0.25">
      <c r="A36" s="16">
        <v>35</v>
      </c>
      <c r="B36" s="17" t="s">
        <v>661</v>
      </c>
      <c r="C36" s="44" t="s">
        <v>20</v>
      </c>
      <c r="D36" s="46" t="s">
        <v>663</v>
      </c>
      <c r="E36" s="49" t="s">
        <v>665</v>
      </c>
      <c r="F36" s="50"/>
      <c r="G36" s="51" t="s">
        <v>668</v>
      </c>
      <c r="H36" s="54" t="s">
        <v>669</v>
      </c>
      <c r="I36" s="54" t="s">
        <v>670</v>
      </c>
      <c r="J36" s="71"/>
      <c r="K36" s="78"/>
      <c r="L36" s="78"/>
      <c r="M36" s="78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73"/>
    </row>
    <row r="37" spans="1:32" ht="22.5" customHeight="1" x14ac:dyDescent="0.25">
      <c r="A37" s="42">
        <v>36</v>
      </c>
      <c r="B37" s="17" t="s">
        <v>673</v>
      </c>
      <c r="C37" s="44" t="s">
        <v>20</v>
      </c>
      <c r="D37" s="46" t="s">
        <v>674</v>
      </c>
      <c r="E37" s="49" t="s">
        <v>676</v>
      </c>
      <c r="F37" s="50"/>
      <c r="G37" s="51" t="s">
        <v>677</v>
      </c>
      <c r="H37" s="54" t="s">
        <v>679</v>
      </c>
      <c r="I37" s="54" t="s">
        <v>681</v>
      </c>
    </row>
    <row r="38" spans="1:32" ht="22.5" customHeight="1" x14ac:dyDescent="0.25">
      <c r="A38" s="42">
        <v>37</v>
      </c>
      <c r="B38" s="17" t="s">
        <v>684</v>
      </c>
      <c r="C38" s="44" t="s">
        <v>20</v>
      </c>
      <c r="D38" s="46" t="s">
        <v>686</v>
      </c>
      <c r="E38" s="49" t="s">
        <v>687</v>
      </c>
      <c r="F38" s="50"/>
      <c r="G38" s="51" t="s">
        <v>689</v>
      </c>
      <c r="H38" s="54" t="s">
        <v>222</v>
      </c>
      <c r="I38" s="54" t="s">
        <v>224</v>
      </c>
    </row>
    <row r="39" spans="1:32" ht="22.5" customHeight="1" x14ac:dyDescent="0.25">
      <c r="A39" s="42">
        <v>38</v>
      </c>
      <c r="B39" s="17" t="s">
        <v>693</v>
      </c>
      <c r="C39" s="44" t="s">
        <v>20</v>
      </c>
      <c r="D39" s="46" t="s">
        <v>266</v>
      </c>
      <c r="E39" s="49" t="s">
        <v>696</v>
      </c>
      <c r="F39" s="50"/>
      <c r="G39" s="51" t="s">
        <v>698</v>
      </c>
      <c r="H39" s="54" t="s">
        <v>699</v>
      </c>
      <c r="I39" s="54" t="s">
        <v>700</v>
      </c>
    </row>
    <row r="40" spans="1:32" ht="22.5" customHeight="1" x14ac:dyDescent="0.25">
      <c r="A40" s="16">
        <v>39</v>
      </c>
      <c r="B40" s="17" t="s">
        <v>702</v>
      </c>
      <c r="C40" s="44" t="s">
        <v>20</v>
      </c>
      <c r="D40" s="46" t="s">
        <v>704</v>
      </c>
      <c r="E40" s="49" t="s">
        <v>705</v>
      </c>
      <c r="F40" s="50"/>
      <c r="G40" s="51" t="s">
        <v>708</v>
      </c>
      <c r="H40" s="54" t="s">
        <v>710</v>
      </c>
      <c r="I40" s="54" t="s">
        <v>713</v>
      </c>
    </row>
    <row r="41" spans="1:32" ht="22.5" customHeight="1" x14ac:dyDescent="0.25">
      <c r="A41" s="42">
        <v>40</v>
      </c>
      <c r="B41" s="17" t="s">
        <v>718</v>
      </c>
      <c r="C41" s="44" t="s">
        <v>20</v>
      </c>
      <c r="D41" s="46" t="s">
        <v>721</v>
      </c>
      <c r="E41" s="49" t="s">
        <v>723</v>
      </c>
      <c r="F41" s="50"/>
      <c r="G41" s="51" t="s">
        <v>724</v>
      </c>
      <c r="H41" s="54" t="s">
        <v>726</v>
      </c>
      <c r="I41" s="54" t="s">
        <v>728</v>
      </c>
    </row>
    <row r="42" spans="1:32" ht="22.5" customHeight="1" x14ac:dyDescent="0.25">
      <c r="A42" s="42">
        <v>41</v>
      </c>
      <c r="B42" s="17" t="s">
        <v>739</v>
      </c>
      <c r="C42" s="44" t="s">
        <v>20</v>
      </c>
      <c r="D42" s="46" t="s">
        <v>742</v>
      </c>
      <c r="E42" s="49" t="s">
        <v>745</v>
      </c>
      <c r="F42" s="50"/>
      <c r="G42" s="51" t="s">
        <v>750</v>
      </c>
      <c r="H42" s="54" t="s">
        <v>753</v>
      </c>
      <c r="I42" s="54" t="s">
        <v>755</v>
      </c>
    </row>
    <row r="43" spans="1:32" ht="22.5" customHeight="1" x14ac:dyDescent="0.25">
      <c r="A43" s="42">
        <v>42</v>
      </c>
      <c r="B43" s="17" t="s">
        <v>765</v>
      </c>
      <c r="C43" s="44" t="s">
        <v>20</v>
      </c>
      <c r="D43" s="46" t="s">
        <v>768</v>
      </c>
      <c r="E43" s="49" t="s">
        <v>769</v>
      </c>
      <c r="F43" s="50"/>
      <c r="G43" s="51" t="s">
        <v>770</v>
      </c>
      <c r="H43" s="54" t="s">
        <v>316</v>
      </c>
      <c r="I43" s="54" t="s">
        <v>319</v>
      </c>
    </row>
    <row r="44" spans="1:32" ht="22.5" customHeight="1" x14ac:dyDescent="0.25">
      <c r="A44" s="16">
        <v>43</v>
      </c>
      <c r="B44" s="17" t="s">
        <v>774</v>
      </c>
      <c r="C44" s="44" t="s">
        <v>44</v>
      </c>
      <c r="D44" s="46" t="s">
        <v>776</v>
      </c>
      <c r="E44" s="49" t="s">
        <v>779</v>
      </c>
      <c r="F44" s="50"/>
      <c r="G44" s="51" t="s">
        <v>782</v>
      </c>
      <c r="H44" s="54" t="s">
        <v>296</v>
      </c>
      <c r="I44" s="54" t="s">
        <v>298</v>
      </c>
    </row>
    <row r="45" spans="1:32" ht="22.5" customHeight="1" x14ac:dyDescent="0.25">
      <c r="A45" s="42">
        <v>44</v>
      </c>
      <c r="B45" s="17" t="s">
        <v>791</v>
      </c>
      <c r="C45" s="44" t="s">
        <v>20</v>
      </c>
      <c r="D45" s="46" t="s">
        <v>793</v>
      </c>
      <c r="E45" s="49" t="s">
        <v>795</v>
      </c>
      <c r="F45" s="50"/>
      <c r="G45" s="51" t="s">
        <v>796</v>
      </c>
      <c r="H45" s="54" t="s">
        <v>798</v>
      </c>
      <c r="I45" s="54" t="s">
        <v>799</v>
      </c>
    </row>
    <row r="46" spans="1:32" ht="22.5" customHeight="1" x14ac:dyDescent="0.25">
      <c r="A46" s="42">
        <v>45</v>
      </c>
      <c r="B46" s="17" t="s">
        <v>801</v>
      </c>
      <c r="C46" s="44" t="s">
        <v>20</v>
      </c>
      <c r="D46" s="46" t="s">
        <v>803</v>
      </c>
      <c r="E46" s="49" t="s">
        <v>805</v>
      </c>
      <c r="F46" s="50"/>
      <c r="G46" s="51" t="s">
        <v>807</v>
      </c>
      <c r="H46" s="54" t="s">
        <v>809</v>
      </c>
      <c r="I46" s="54" t="s">
        <v>810</v>
      </c>
    </row>
    <row r="47" spans="1:32" ht="22.5" customHeight="1" x14ac:dyDescent="0.25">
      <c r="A47" s="42">
        <v>46</v>
      </c>
      <c r="B47" s="17" t="s">
        <v>813</v>
      </c>
      <c r="C47" s="44" t="s">
        <v>20</v>
      </c>
      <c r="D47" s="46" t="s">
        <v>815</v>
      </c>
      <c r="E47" s="49" t="s">
        <v>816</v>
      </c>
      <c r="F47" s="50"/>
      <c r="G47" s="51" t="s">
        <v>818</v>
      </c>
      <c r="H47" s="54" t="s">
        <v>669</v>
      </c>
      <c r="I47" s="54" t="s">
        <v>670</v>
      </c>
    </row>
    <row r="48" spans="1:32" ht="22.5" customHeight="1" x14ac:dyDescent="0.25">
      <c r="A48" s="16">
        <v>47</v>
      </c>
      <c r="B48" s="17" t="s">
        <v>825</v>
      </c>
      <c r="C48" s="44" t="s">
        <v>20</v>
      </c>
      <c r="D48" s="46" t="s">
        <v>827</v>
      </c>
      <c r="E48" s="49" t="s">
        <v>830</v>
      </c>
      <c r="F48" s="50"/>
      <c r="G48" s="51" t="s">
        <v>831</v>
      </c>
      <c r="H48" s="54" t="s">
        <v>94</v>
      </c>
      <c r="I48" s="54" t="s">
        <v>95</v>
      </c>
    </row>
    <row r="49" spans="1:9" ht="22.5" customHeight="1" x14ac:dyDescent="0.25">
      <c r="A49" s="42">
        <v>48</v>
      </c>
      <c r="B49" s="17" t="s">
        <v>832</v>
      </c>
      <c r="C49" s="44" t="s">
        <v>20</v>
      </c>
      <c r="D49" s="46" t="s">
        <v>833</v>
      </c>
      <c r="E49" s="49" t="s">
        <v>834</v>
      </c>
      <c r="F49" s="50"/>
      <c r="G49" s="51" t="s">
        <v>835</v>
      </c>
      <c r="H49" s="54" t="s">
        <v>836</v>
      </c>
      <c r="I49" s="54" t="s">
        <v>837</v>
      </c>
    </row>
    <row r="50" spans="1:9" ht="22.5" customHeight="1" x14ac:dyDescent="0.25">
      <c r="A50" s="42">
        <v>49</v>
      </c>
      <c r="B50" s="17" t="s">
        <v>840</v>
      </c>
      <c r="C50" s="44" t="s">
        <v>20</v>
      </c>
      <c r="D50" s="46"/>
      <c r="E50" s="49" t="s">
        <v>842</v>
      </c>
      <c r="F50" s="50"/>
      <c r="G50" s="51" t="s">
        <v>843</v>
      </c>
      <c r="H50" s="54"/>
      <c r="I50" s="54"/>
    </row>
    <row r="51" spans="1:9" ht="22.5" customHeight="1" x14ac:dyDescent="0.25">
      <c r="A51" s="42">
        <v>50</v>
      </c>
      <c r="B51" s="17" t="s">
        <v>849</v>
      </c>
      <c r="C51" s="44" t="s">
        <v>20</v>
      </c>
      <c r="D51" s="46" t="s">
        <v>851</v>
      </c>
      <c r="E51" s="49" t="s">
        <v>852</v>
      </c>
      <c r="F51" s="50"/>
      <c r="G51" s="51" t="s">
        <v>855</v>
      </c>
      <c r="H51" s="54" t="s">
        <v>857</v>
      </c>
      <c r="I51" s="54" t="s">
        <v>859</v>
      </c>
    </row>
    <row r="52" spans="1:9" ht="22.5" customHeight="1" x14ac:dyDescent="0.25">
      <c r="A52" s="16">
        <v>51</v>
      </c>
      <c r="B52" s="17" t="s">
        <v>861</v>
      </c>
      <c r="C52" s="44" t="s">
        <v>20</v>
      </c>
      <c r="D52" s="46" t="s">
        <v>862</v>
      </c>
      <c r="E52" s="49" t="s">
        <v>864</v>
      </c>
      <c r="F52" s="50"/>
      <c r="G52" s="51" t="s">
        <v>865</v>
      </c>
      <c r="H52" s="54" t="s">
        <v>867</v>
      </c>
      <c r="I52" s="54" t="s">
        <v>869</v>
      </c>
    </row>
    <row r="53" spans="1:9" ht="22.5" customHeight="1" x14ac:dyDescent="0.25">
      <c r="A53" s="42">
        <v>52</v>
      </c>
      <c r="B53" s="17" t="s">
        <v>873</v>
      </c>
      <c r="C53" s="44" t="s">
        <v>20</v>
      </c>
      <c r="D53" s="46" t="s">
        <v>874</v>
      </c>
      <c r="E53" s="49" t="s">
        <v>876</v>
      </c>
      <c r="F53" s="50"/>
      <c r="G53" s="51" t="s">
        <v>877</v>
      </c>
      <c r="H53" s="54" t="s">
        <v>878</v>
      </c>
      <c r="I53" s="54" t="s">
        <v>879</v>
      </c>
    </row>
    <row r="54" spans="1:9" ht="22.5" customHeight="1" x14ac:dyDescent="0.25">
      <c r="A54" s="42">
        <v>53</v>
      </c>
      <c r="B54" s="17" t="s">
        <v>883</v>
      </c>
      <c r="C54" s="44" t="s">
        <v>20</v>
      </c>
      <c r="D54" s="46" t="s">
        <v>884</v>
      </c>
      <c r="E54" s="46" t="s">
        <v>886</v>
      </c>
      <c r="F54" s="50"/>
      <c r="G54" s="51" t="s">
        <v>888</v>
      </c>
      <c r="H54" s="54" t="s">
        <v>889</v>
      </c>
      <c r="I54" s="54" t="s">
        <v>890</v>
      </c>
    </row>
    <row r="55" spans="1:9" ht="22.5" customHeight="1" x14ac:dyDescent="0.25">
      <c r="A55" s="42">
        <v>54</v>
      </c>
      <c r="B55" s="17" t="s">
        <v>892</v>
      </c>
      <c r="C55" s="44" t="s">
        <v>20</v>
      </c>
      <c r="D55" s="46" t="s">
        <v>27</v>
      </c>
      <c r="E55" s="49" t="s">
        <v>895</v>
      </c>
      <c r="F55" s="50"/>
      <c r="G55" s="51" t="s">
        <v>898</v>
      </c>
      <c r="H55" s="28" t="s">
        <v>35</v>
      </c>
      <c r="I55" s="112" t="s">
        <v>37</v>
      </c>
    </row>
    <row r="56" spans="1:9" ht="22.5" customHeight="1" x14ac:dyDescent="0.25">
      <c r="A56" s="16">
        <v>55</v>
      </c>
      <c r="B56" s="17" t="s">
        <v>901</v>
      </c>
      <c r="C56" s="44" t="s">
        <v>44</v>
      </c>
      <c r="D56" s="46" t="s">
        <v>905</v>
      </c>
      <c r="E56" s="49" t="s">
        <v>908</v>
      </c>
      <c r="F56" s="50"/>
      <c r="G56" s="51" t="s">
        <v>909</v>
      </c>
      <c r="H56" s="54" t="s">
        <v>296</v>
      </c>
      <c r="I56" s="54" t="s">
        <v>298</v>
      </c>
    </row>
    <row r="57" spans="1:9" ht="22.5" customHeight="1" x14ac:dyDescent="0.25">
      <c r="A57" s="42">
        <v>56</v>
      </c>
      <c r="B57" s="17" t="s">
        <v>913</v>
      </c>
      <c r="C57" s="44" t="s">
        <v>20</v>
      </c>
      <c r="D57" s="46" t="s">
        <v>914</v>
      </c>
      <c r="E57" s="49" t="s">
        <v>915</v>
      </c>
      <c r="F57" s="50"/>
      <c r="G57" s="51" t="s">
        <v>917</v>
      </c>
      <c r="H57" s="54" t="s">
        <v>918</v>
      </c>
      <c r="I57" s="54" t="s">
        <v>921</v>
      </c>
    </row>
    <row r="58" spans="1:9" ht="22.5" customHeight="1" x14ac:dyDescent="0.25">
      <c r="A58" s="42">
        <v>57</v>
      </c>
      <c r="B58" s="17" t="s">
        <v>925</v>
      </c>
      <c r="C58" s="44" t="s">
        <v>20</v>
      </c>
      <c r="D58" s="46" t="s">
        <v>926</v>
      </c>
      <c r="E58" s="49" t="s">
        <v>927</v>
      </c>
      <c r="F58" s="50"/>
      <c r="G58" s="51" t="s">
        <v>928</v>
      </c>
      <c r="H58" s="54" t="s">
        <v>929</v>
      </c>
      <c r="I58" s="54" t="s">
        <v>930</v>
      </c>
    </row>
    <row r="59" spans="1:9" ht="22.5" customHeight="1" x14ac:dyDescent="0.25">
      <c r="A59" s="42">
        <v>58</v>
      </c>
      <c r="B59" s="17" t="s">
        <v>931</v>
      </c>
      <c r="C59" s="44" t="s">
        <v>44</v>
      </c>
      <c r="D59" s="46" t="s">
        <v>827</v>
      </c>
      <c r="E59" s="49" t="s">
        <v>932</v>
      </c>
      <c r="F59" s="50"/>
      <c r="G59" s="51" t="s">
        <v>933</v>
      </c>
      <c r="H59" s="54" t="s">
        <v>94</v>
      </c>
      <c r="I59" s="54" t="s">
        <v>95</v>
      </c>
    </row>
    <row r="60" spans="1:9" ht="22.5" customHeight="1" x14ac:dyDescent="0.25">
      <c r="A60" s="16">
        <v>59</v>
      </c>
      <c r="B60" s="17" t="s">
        <v>934</v>
      </c>
      <c r="C60" s="44" t="s">
        <v>44</v>
      </c>
      <c r="D60" s="46" t="s">
        <v>935</v>
      </c>
      <c r="E60" s="49" t="s">
        <v>936</v>
      </c>
      <c r="F60" s="50"/>
      <c r="G60" s="51" t="s">
        <v>937</v>
      </c>
      <c r="H60" s="28" t="s">
        <v>35</v>
      </c>
      <c r="I60" s="112" t="s">
        <v>37</v>
      </c>
    </row>
    <row r="61" spans="1:9" ht="22.5" customHeight="1" x14ac:dyDescent="0.25">
      <c r="A61" s="42">
        <v>60</v>
      </c>
      <c r="B61" s="17" t="s">
        <v>938</v>
      </c>
      <c r="C61" s="44" t="s">
        <v>20</v>
      </c>
      <c r="D61" s="46" t="s">
        <v>27</v>
      </c>
      <c r="E61" s="49" t="s">
        <v>939</v>
      </c>
      <c r="F61" s="50"/>
      <c r="G61" s="51" t="s">
        <v>940</v>
      </c>
      <c r="H61" s="28" t="s">
        <v>35</v>
      </c>
      <c r="I61" s="112" t="s">
        <v>37</v>
      </c>
    </row>
    <row r="62" spans="1:9" ht="22.5" customHeight="1" x14ac:dyDescent="0.25">
      <c r="A62" s="16">
        <v>61</v>
      </c>
      <c r="B62" s="17" t="s">
        <v>941</v>
      </c>
      <c r="C62" s="44" t="s">
        <v>20</v>
      </c>
      <c r="D62" s="46" t="s">
        <v>942</v>
      </c>
      <c r="E62" s="49" t="s">
        <v>943</v>
      </c>
      <c r="F62" s="50"/>
      <c r="G62" s="51" t="s">
        <v>944</v>
      </c>
      <c r="H62" s="54" t="s">
        <v>945</v>
      </c>
      <c r="I62" s="54" t="s">
        <v>946</v>
      </c>
    </row>
    <row r="63" spans="1:9" ht="22.5" customHeight="1" x14ac:dyDescent="0.25">
      <c r="A63" s="42">
        <v>62</v>
      </c>
      <c r="B63" s="17" t="s">
        <v>947</v>
      </c>
      <c r="C63" s="44" t="s">
        <v>20</v>
      </c>
      <c r="D63" s="46" t="s">
        <v>942</v>
      </c>
      <c r="E63" s="49" t="s">
        <v>948</v>
      </c>
      <c r="F63" s="50"/>
      <c r="G63" s="51" t="s">
        <v>949</v>
      </c>
      <c r="H63" s="54" t="s">
        <v>945</v>
      </c>
      <c r="I63" s="54" t="s">
        <v>946</v>
      </c>
    </row>
    <row r="64" spans="1:9" ht="22.5" customHeight="1" x14ac:dyDescent="0.25">
      <c r="A64" s="42">
        <v>63</v>
      </c>
      <c r="B64" s="17" t="s">
        <v>950</v>
      </c>
      <c r="C64" s="44" t="s">
        <v>44</v>
      </c>
      <c r="D64" s="46" t="s">
        <v>951</v>
      </c>
      <c r="E64" s="49" t="s">
        <v>952</v>
      </c>
      <c r="F64" s="50"/>
      <c r="G64" s="51" t="s">
        <v>953</v>
      </c>
      <c r="H64" s="54" t="s">
        <v>396</v>
      </c>
      <c r="I64" s="54" t="s">
        <v>397</v>
      </c>
    </row>
    <row r="65" spans="1:9" ht="22.5" customHeight="1" x14ac:dyDescent="0.25">
      <c r="A65" s="42">
        <v>64</v>
      </c>
      <c r="B65" s="17" t="s">
        <v>954</v>
      </c>
      <c r="C65" s="44" t="s">
        <v>20</v>
      </c>
      <c r="D65" s="46" t="s">
        <v>27</v>
      </c>
      <c r="E65" s="49" t="s">
        <v>955</v>
      </c>
      <c r="F65" s="50"/>
      <c r="G65" s="51" t="s">
        <v>956</v>
      </c>
      <c r="H65" s="28" t="s">
        <v>35</v>
      </c>
      <c r="I65" s="112" t="s">
        <v>37</v>
      </c>
    </row>
    <row r="66" spans="1:9" ht="22.5" customHeight="1" x14ac:dyDescent="0.25">
      <c r="A66" s="16">
        <v>65</v>
      </c>
      <c r="B66" s="17" t="s">
        <v>957</v>
      </c>
      <c r="C66" s="44" t="s">
        <v>20</v>
      </c>
      <c r="D66" s="46" t="s">
        <v>958</v>
      </c>
      <c r="E66" s="49" t="s">
        <v>959</v>
      </c>
      <c r="F66" s="50"/>
      <c r="G66" s="51" t="s">
        <v>960</v>
      </c>
      <c r="H66" s="54" t="s">
        <v>961</v>
      </c>
      <c r="I66" s="54" t="s">
        <v>962</v>
      </c>
    </row>
    <row r="67" spans="1:9" ht="22.5" customHeight="1" x14ac:dyDescent="0.25">
      <c r="A67" s="42">
        <v>66</v>
      </c>
      <c r="B67" s="17" t="s">
        <v>963</v>
      </c>
      <c r="C67" s="44" t="s">
        <v>20</v>
      </c>
      <c r="D67" s="46" t="s">
        <v>964</v>
      </c>
      <c r="E67" s="49" t="s">
        <v>965</v>
      </c>
      <c r="F67" s="50"/>
      <c r="G67" s="51" t="s">
        <v>966</v>
      </c>
      <c r="H67" s="54" t="s">
        <v>967</v>
      </c>
      <c r="I67" s="54" t="s">
        <v>968</v>
      </c>
    </row>
    <row r="68" spans="1:9" ht="22.5" customHeight="1" x14ac:dyDescent="0.25">
      <c r="A68" s="42">
        <v>67</v>
      </c>
      <c r="B68" s="17" t="s">
        <v>969</v>
      </c>
      <c r="C68" s="44" t="s">
        <v>44</v>
      </c>
      <c r="D68" s="46" t="s">
        <v>827</v>
      </c>
      <c r="E68" s="49" t="s">
        <v>970</v>
      </c>
      <c r="F68" s="50"/>
      <c r="G68" s="51" t="s">
        <v>971</v>
      </c>
      <c r="H68" s="54" t="s">
        <v>94</v>
      </c>
      <c r="I68" s="54" t="s">
        <v>95</v>
      </c>
    </row>
    <row r="69" spans="1:9" ht="22.5" customHeight="1" x14ac:dyDescent="0.25">
      <c r="A69" s="42">
        <v>68</v>
      </c>
      <c r="B69" s="17" t="s">
        <v>972</v>
      </c>
      <c r="C69" s="44" t="s">
        <v>20</v>
      </c>
      <c r="D69" s="46" t="s">
        <v>776</v>
      </c>
      <c r="E69" s="49" t="s">
        <v>973</v>
      </c>
      <c r="F69" s="50"/>
      <c r="G69" s="51" t="s">
        <v>974</v>
      </c>
      <c r="H69" s="54" t="s">
        <v>296</v>
      </c>
      <c r="I69" s="54" t="s">
        <v>298</v>
      </c>
    </row>
    <row r="70" spans="1:9" ht="22.5" customHeight="1" x14ac:dyDescent="0.25">
      <c r="A70" s="16">
        <v>69</v>
      </c>
      <c r="B70" s="17" t="s">
        <v>975</v>
      </c>
      <c r="C70" s="44" t="s">
        <v>44</v>
      </c>
      <c r="D70" s="46" t="s">
        <v>976</v>
      </c>
      <c r="E70" s="49" t="s">
        <v>977</v>
      </c>
      <c r="F70" s="50"/>
      <c r="G70" s="51" t="s">
        <v>978</v>
      </c>
      <c r="H70" s="54" t="s">
        <v>979</v>
      </c>
      <c r="I70" s="54" t="s">
        <v>980</v>
      </c>
    </row>
    <row r="71" spans="1:9" ht="22.5" customHeight="1" x14ac:dyDescent="0.25">
      <c r="A71" s="42">
        <v>70</v>
      </c>
      <c r="B71" s="17" t="s">
        <v>981</v>
      </c>
      <c r="C71" s="44" t="s">
        <v>44</v>
      </c>
      <c r="D71" s="46" t="s">
        <v>27</v>
      </c>
      <c r="E71" s="49" t="s">
        <v>982</v>
      </c>
      <c r="F71" s="50"/>
      <c r="G71" s="51" t="s">
        <v>983</v>
      </c>
      <c r="H71" s="28" t="s">
        <v>35</v>
      </c>
      <c r="I71" s="112" t="s">
        <v>37</v>
      </c>
    </row>
    <row r="72" spans="1:9" ht="22.5" customHeight="1" x14ac:dyDescent="0.25">
      <c r="A72" s="42">
        <v>71</v>
      </c>
      <c r="B72" s="17" t="s">
        <v>984</v>
      </c>
      <c r="C72" s="44" t="s">
        <v>20</v>
      </c>
      <c r="D72" s="46" t="s">
        <v>985</v>
      </c>
      <c r="E72" s="49" t="s">
        <v>986</v>
      </c>
      <c r="F72" s="50"/>
      <c r="G72" s="51" t="s">
        <v>987</v>
      </c>
      <c r="H72" s="54" t="s">
        <v>988</v>
      </c>
      <c r="I72" s="54" t="s">
        <v>989</v>
      </c>
    </row>
    <row r="73" spans="1:9" ht="22.5" customHeight="1" x14ac:dyDescent="0.25">
      <c r="A73" s="42">
        <v>72</v>
      </c>
      <c r="B73" s="17" t="s">
        <v>990</v>
      </c>
      <c r="C73" s="44" t="s">
        <v>44</v>
      </c>
      <c r="D73" s="46" t="s">
        <v>935</v>
      </c>
      <c r="E73" s="49" t="s">
        <v>991</v>
      </c>
      <c r="F73" s="50"/>
      <c r="G73" s="51" t="s">
        <v>992</v>
      </c>
      <c r="H73" s="28" t="s">
        <v>35</v>
      </c>
      <c r="I73" s="112" t="s">
        <v>37</v>
      </c>
    </row>
    <row r="74" spans="1:9" ht="22.5" customHeight="1" x14ac:dyDescent="0.25">
      <c r="A74" s="16">
        <v>73</v>
      </c>
      <c r="B74" s="17" t="s">
        <v>993</v>
      </c>
      <c r="C74" s="44" t="s">
        <v>20</v>
      </c>
      <c r="D74" s="46" t="s">
        <v>994</v>
      </c>
      <c r="E74" s="49" t="s">
        <v>995</v>
      </c>
      <c r="F74" s="50"/>
      <c r="G74" s="51" t="s">
        <v>996</v>
      </c>
      <c r="H74" s="54" t="s">
        <v>997</v>
      </c>
      <c r="I74" s="54" t="s">
        <v>998</v>
      </c>
    </row>
    <row r="75" spans="1:9" ht="22.5" customHeight="1" x14ac:dyDescent="0.25">
      <c r="A75" s="42">
        <v>74</v>
      </c>
      <c r="B75" s="17" t="s">
        <v>999</v>
      </c>
      <c r="C75" s="44" t="s">
        <v>20</v>
      </c>
      <c r="D75" s="46" t="s">
        <v>942</v>
      </c>
      <c r="E75" s="49" t="s">
        <v>1000</v>
      </c>
      <c r="F75" s="50"/>
      <c r="G75" s="51" t="s">
        <v>1001</v>
      </c>
      <c r="H75" s="54" t="s">
        <v>296</v>
      </c>
      <c r="I75" s="54" t="s">
        <v>298</v>
      </c>
    </row>
    <row r="76" spans="1:9" ht="22.5" customHeight="1" x14ac:dyDescent="0.25">
      <c r="A76" s="42">
        <v>75</v>
      </c>
      <c r="B76" s="17" t="s">
        <v>1002</v>
      </c>
      <c r="C76" s="44" t="s">
        <v>20</v>
      </c>
      <c r="D76" s="46" t="s">
        <v>1003</v>
      </c>
      <c r="E76" s="17" t="s">
        <v>1004</v>
      </c>
      <c r="F76" s="143"/>
      <c r="G76" s="51" t="s">
        <v>1005</v>
      </c>
      <c r="H76" s="144" t="s">
        <v>1006</v>
      </c>
      <c r="I76" s="54" t="s">
        <v>1007</v>
      </c>
    </row>
    <row r="77" spans="1:9" ht="22.5" customHeight="1" x14ac:dyDescent="0.25">
      <c r="A77" s="42">
        <v>76</v>
      </c>
      <c r="B77" s="17" t="s">
        <v>1008</v>
      </c>
      <c r="C77" s="44" t="s">
        <v>20</v>
      </c>
      <c r="D77" s="46" t="s">
        <v>27</v>
      </c>
      <c r="E77" s="49" t="s">
        <v>1009</v>
      </c>
      <c r="F77" s="50"/>
      <c r="G77" s="51" t="s">
        <v>1010</v>
      </c>
      <c r="H77" s="28" t="s">
        <v>35</v>
      </c>
      <c r="I77" s="112" t="s">
        <v>1011</v>
      </c>
    </row>
    <row r="78" spans="1:9" ht="22.5" customHeight="1" x14ac:dyDescent="0.25">
      <c r="A78" s="16">
        <v>77</v>
      </c>
      <c r="B78" s="17" t="s">
        <v>1012</v>
      </c>
      <c r="C78" s="44" t="s">
        <v>20</v>
      </c>
      <c r="D78" s="46" t="s">
        <v>815</v>
      </c>
      <c r="E78" s="49" t="s">
        <v>1013</v>
      </c>
      <c r="F78" s="50"/>
      <c r="G78" s="51" t="s">
        <v>1014</v>
      </c>
      <c r="H78" s="54" t="s">
        <v>669</v>
      </c>
      <c r="I78" s="54" t="s">
        <v>670</v>
      </c>
    </row>
    <row r="79" spans="1:9" ht="22.5" customHeight="1" x14ac:dyDescent="0.25">
      <c r="A79" s="42">
        <v>78</v>
      </c>
      <c r="B79" s="17" t="s">
        <v>1015</v>
      </c>
      <c r="C79" s="44" t="s">
        <v>44</v>
      </c>
      <c r="D79" s="46" t="s">
        <v>1016</v>
      </c>
      <c r="E79" s="49" t="s">
        <v>1017</v>
      </c>
      <c r="F79" s="50"/>
      <c r="G79" s="51" t="s">
        <v>1018</v>
      </c>
      <c r="H79" s="54" t="s">
        <v>94</v>
      </c>
      <c r="I79" s="54" t="s">
        <v>95</v>
      </c>
    </row>
    <row r="80" spans="1:9" ht="22.5" customHeight="1" x14ac:dyDescent="0.25">
      <c r="A80" s="42">
        <v>79</v>
      </c>
      <c r="B80" s="17" t="s">
        <v>1019</v>
      </c>
      <c r="C80" s="44" t="s">
        <v>44</v>
      </c>
      <c r="D80" s="46" t="s">
        <v>1020</v>
      </c>
      <c r="E80" s="49" t="s">
        <v>1021</v>
      </c>
      <c r="F80" s="50"/>
      <c r="G80" s="51" t="s">
        <v>1022</v>
      </c>
      <c r="H80" s="54" t="s">
        <v>1023</v>
      </c>
      <c r="I80" s="54" t="s">
        <v>1024</v>
      </c>
    </row>
    <row r="81" spans="1:9" ht="22.5" customHeight="1" x14ac:dyDescent="0.25">
      <c r="A81" s="42">
        <v>80</v>
      </c>
      <c r="B81" s="17" t="s">
        <v>1025</v>
      </c>
      <c r="C81" s="44" t="s">
        <v>44</v>
      </c>
      <c r="D81" s="46" t="s">
        <v>27</v>
      </c>
      <c r="E81" s="49" t="s">
        <v>1026</v>
      </c>
      <c r="F81" s="50"/>
      <c r="G81" s="51" t="s">
        <v>1027</v>
      </c>
      <c r="H81" s="28" t="s">
        <v>35</v>
      </c>
      <c r="I81" s="112" t="s">
        <v>37</v>
      </c>
    </row>
    <row r="82" spans="1:9" ht="22.5" customHeight="1" x14ac:dyDescent="0.25">
      <c r="A82" s="16">
        <v>81</v>
      </c>
      <c r="B82" s="17" t="s">
        <v>1028</v>
      </c>
      <c r="C82" s="44" t="s">
        <v>20</v>
      </c>
      <c r="D82" s="46" t="s">
        <v>27</v>
      </c>
      <c r="E82" s="49" t="s">
        <v>1029</v>
      </c>
      <c r="F82" s="50"/>
      <c r="G82" s="51" t="s">
        <v>1030</v>
      </c>
      <c r="H82" s="28" t="s">
        <v>35</v>
      </c>
      <c r="I82" s="112" t="s">
        <v>37</v>
      </c>
    </row>
    <row r="83" spans="1:9" ht="22.5" customHeight="1" x14ac:dyDescent="0.25">
      <c r="A83" s="42">
        <v>82</v>
      </c>
      <c r="B83" s="17" t="s">
        <v>1031</v>
      </c>
      <c r="C83" s="44" t="s">
        <v>20</v>
      </c>
      <c r="D83" s="46" t="s">
        <v>288</v>
      </c>
      <c r="E83" s="49" t="s">
        <v>1032</v>
      </c>
      <c r="F83" s="50"/>
      <c r="G83" s="51" t="s">
        <v>1033</v>
      </c>
      <c r="H83" s="54" t="s">
        <v>296</v>
      </c>
      <c r="I83" s="54" t="s">
        <v>298</v>
      </c>
    </row>
    <row r="84" spans="1:9" ht="22.5" customHeight="1" x14ac:dyDescent="0.25">
      <c r="A84" s="42">
        <v>83</v>
      </c>
      <c r="B84" s="17" t="s">
        <v>1034</v>
      </c>
      <c r="C84" s="44" t="s">
        <v>44</v>
      </c>
      <c r="D84" s="46" t="s">
        <v>27</v>
      </c>
      <c r="E84" s="49" t="s">
        <v>1035</v>
      </c>
      <c r="F84" s="50"/>
      <c r="G84" s="51" t="s">
        <v>1036</v>
      </c>
      <c r="H84" s="28" t="s">
        <v>35</v>
      </c>
      <c r="I84" s="112" t="s">
        <v>37</v>
      </c>
    </row>
    <row r="85" spans="1:9" ht="22.5" customHeight="1" x14ac:dyDescent="0.25">
      <c r="A85" s="42">
        <v>84</v>
      </c>
      <c r="B85" s="17" t="s">
        <v>1037</v>
      </c>
      <c r="C85" s="44" t="s">
        <v>20</v>
      </c>
      <c r="D85" s="46" t="s">
        <v>1038</v>
      </c>
      <c r="E85" s="49" t="s">
        <v>1039</v>
      </c>
      <c r="F85" s="50"/>
      <c r="G85" s="51" t="s">
        <v>1040</v>
      </c>
      <c r="H85" s="54" t="s">
        <v>504</v>
      </c>
      <c r="I85" s="54" t="s">
        <v>507</v>
      </c>
    </row>
    <row r="86" spans="1:9" ht="22.5" customHeight="1" x14ac:dyDescent="0.25">
      <c r="A86" s="16">
        <v>85</v>
      </c>
      <c r="B86" s="17" t="s">
        <v>1041</v>
      </c>
      <c r="C86" s="44" t="s">
        <v>20</v>
      </c>
      <c r="D86" s="46" t="s">
        <v>1042</v>
      </c>
      <c r="E86" s="49" t="s">
        <v>1043</v>
      </c>
      <c r="F86" s="50"/>
      <c r="G86" s="51" t="s">
        <v>1044</v>
      </c>
      <c r="H86" s="54" t="s">
        <v>1045</v>
      </c>
      <c r="I86" s="54" t="s">
        <v>1046</v>
      </c>
    </row>
    <row r="87" spans="1:9" ht="22.5" customHeight="1" x14ac:dyDescent="0.25">
      <c r="A87" s="42">
        <v>86</v>
      </c>
      <c r="B87" s="17" t="s">
        <v>236</v>
      </c>
      <c r="C87" s="44" t="s">
        <v>20</v>
      </c>
      <c r="D87" s="46" t="s">
        <v>1049</v>
      </c>
      <c r="E87" s="49" t="s">
        <v>1050</v>
      </c>
      <c r="F87" s="50"/>
      <c r="G87" s="51" t="s">
        <v>255</v>
      </c>
      <c r="H87" s="54" t="s">
        <v>1051</v>
      </c>
      <c r="I87" s="54" t="s">
        <v>1052</v>
      </c>
    </row>
    <row r="88" spans="1:9" ht="22.5" customHeight="1" x14ac:dyDescent="0.25">
      <c r="A88" s="42">
        <v>87</v>
      </c>
      <c r="B88" s="17" t="s">
        <v>1055</v>
      </c>
      <c r="C88" s="44" t="s">
        <v>20</v>
      </c>
      <c r="D88" s="46" t="s">
        <v>1056</v>
      </c>
      <c r="E88" s="49" t="s">
        <v>1057</v>
      </c>
      <c r="F88" s="50"/>
      <c r="G88" s="51" t="s">
        <v>1059</v>
      </c>
      <c r="H88" s="28" t="s">
        <v>35</v>
      </c>
      <c r="I88" s="112" t="s">
        <v>37</v>
      </c>
    </row>
    <row r="89" spans="1:9" ht="22.5" customHeight="1" x14ac:dyDescent="0.25">
      <c r="A89" s="42">
        <v>88</v>
      </c>
      <c r="B89" s="17" t="s">
        <v>1061</v>
      </c>
      <c r="C89" s="44" t="s">
        <v>20</v>
      </c>
      <c r="D89" s="46" t="s">
        <v>1062</v>
      </c>
      <c r="E89" s="49" t="s">
        <v>1063</v>
      </c>
      <c r="F89" s="50"/>
      <c r="G89" s="51" t="s">
        <v>1064</v>
      </c>
      <c r="H89" s="28" t="s">
        <v>35</v>
      </c>
      <c r="I89" s="112" t="s">
        <v>37</v>
      </c>
    </row>
    <row r="90" spans="1:9" ht="22.5" customHeight="1" x14ac:dyDescent="0.25">
      <c r="A90" s="16">
        <v>89</v>
      </c>
      <c r="B90" s="17" t="s">
        <v>1065</v>
      </c>
      <c r="C90" s="44" t="s">
        <v>20</v>
      </c>
      <c r="D90" s="46" t="s">
        <v>1067</v>
      </c>
      <c r="E90" s="49" t="s">
        <v>1068</v>
      </c>
      <c r="F90" s="50"/>
      <c r="G90" s="51" t="s">
        <v>1070</v>
      </c>
      <c r="H90" s="28" t="s">
        <v>35</v>
      </c>
      <c r="I90" s="112" t="s">
        <v>37</v>
      </c>
    </row>
    <row r="91" spans="1:9" ht="22.5" customHeight="1" x14ac:dyDescent="0.25">
      <c r="A91" s="42">
        <v>90</v>
      </c>
      <c r="B91" s="17" t="s">
        <v>1073</v>
      </c>
      <c r="C91" s="44" t="s">
        <v>44</v>
      </c>
      <c r="D91" s="46" t="s">
        <v>1074</v>
      </c>
      <c r="E91" s="49" t="s">
        <v>1075</v>
      </c>
      <c r="F91" s="50"/>
      <c r="G91" s="51" t="s">
        <v>1077</v>
      </c>
      <c r="H91" s="54" t="s">
        <v>1078</v>
      </c>
      <c r="I91" s="54" t="s">
        <v>1081</v>
      </c>
    </row>
    <row r="92" spans="1:9" ht="22.5" customHeight="1" x14ac:dyDescent="0.25">
      <c r="A92" s="16">
        <v>91</v>
      </c>
      <c r="B92" s="17" t="s">
        <v>1085</v>
      </c>
      <c r="C92" s="44" t="s">
        <v>20</v>
      </c>
      <c r="D92" s="46" t="s">
        <v>1088</v>
      </c>
      <c r="E92" s="49" t="s">
        <v>1090</v>
      </c>
      <c r="F92" s="50"/>
      <c r="G92" s="51" t="s">
        <v>1093</v>
      </c>
      <c r="H92" s="54" t="s">
        <v>617</v>
      </c>
      <c r="I92" s="54" t="s">
        <v>619</v>
      </c>
    </row>
    <row r="93" spans="1:9" ht="22.5" customHeight="1" x14ac:dyDescent="0.25">
      <c r="A93" s="42">
        <v>92</v>
      </c>
      <c r="B93" s="17" t="s">
        <v>1098</v>
      </c>
      <c r="C93" s="44" t="s">
        <v>20</v>
      </c>
      <c r="D93" s="46" t="s">
        <v>1100</v>
      </c>
      <c r="E93" s="49" t="s">
        <v>1101</v>
      </c>
      <c r="F93" s="50"/>
      <c r="G93" s="51" t="s">
        <v>1103</v>
      </c>
      <c r="H93" s="54" t="s">
        <v>710</v>
      </c>
      <c r="I93" s="54" t="s">
        <v>713</v>
      </c>
    </row>
    <row r="94" spans="1:9" ht="22.5" customHeight="1" x14ac:dyDescent="0.25">
      <c r="A94" s="42">
        <v>93</v>
      </c>
      <c r="B94" s="17" t="s">
        <v>1108</v>
      </c>
      <c r="C94" s="44" t="s">
        <v>20</v>
      </c>
      <c r="D94" s="46" t="s">
        <v>1111</v>
      </c>
      <c r="E94" s="49" t="s">
        <v>1113</v>
      </c>
      <c r="F94" s="50"/>
      <c r="G94" s="51" t="s">
        <v>1116</v>
      </c>
      <c r="H94" s="54" t="s">
        <v>1118</v>
      </c>
      <c r="I94" s="54" t="s">
        <v>1119</v>
      </c>
    </row>
    <row r="95" spans="1:9" ht="22.5" customHeight="1" x14ac:dyDescent="0.25">
      <c r="A95" s="42">
        <v>94</v>
      </c>
      <c r="B95" s="17" t="s">
        <v>1121</v>
      </c>
      <c r="C95" s="44" t="s">
        <v>20</v>
      </c>
      <c r="D95" s="46" t="s">
        <v>1124</v>
      </c>
      <c r="E95" s="49" t="s">
        <v>1126</v>
      </c>
      <c r="F95" s="50"/>
      <c r="G95" s="51" t="s">
        <v>1130</v>
      </c>
      <c r="H95" s="54" t="s">
        <v>1132</v>
      </c>
      <c r="I95" s="54" t="s">
        <v>1133</v>
      </c>
    </row>
    <row r="96" spans="1:9" ht="22.5" customHeight="1" x14ac:dyDescent="0.25">
      <c r="A96" s="16">
        <v>95</v>
      </c>
      <c r="B96" s="17" t="s">
        <v>1139</v>
      </c>
      <c r="C96" s="44" t="s">
        <v>20</v>
      </c>
      <c r="D96" s="46" t="s">
        <v>27</v>
      </c>
      <c r="E96" s="49" t="s">
        <v>1142</v>
      </c>
      <c r="F96" s="50"/>
      <c r="G96" s="51" t="s">
        <v>1144</v>
      </c>
      <c r="H96" s="28" t="s">
        <v>35</v>
      </c>
      <c r="I96" s="112" t="s">
        <v>37</v>
      </c>
    </row>
    <row r="97" spans="1:9" ht="22.5" customHeight="1" x14ac:dyDescent="0.25">
      <c r="A97" s="42">
        <v>96</v>
      </c>
      <c r="B97" s="17" t="s">
        <v>1150</v>
      </c>
      <c r="C97" s="44" t="s">
        <v>44</v>
      </c>
      <c r="D97" s="46" t="s">
        <v>1154</v>
      </c>
      <c r="E97" s="49" t="s">
        <v>1156</v>
      </c>
      <c r="F97" s="50"/>
      <c r="G97" s="51" t="s">
        <v>1157</v>
      </c>
      <c r="H97" s="54" t="s">
        <v>1159</v>
      </c>
      <c r="I97" s="54" t="s">
        <v>1161</v>
      </c>
    </row>
    <row r="98" spans="1:9" ht="22.5" customHeight="1" x14ac:dyDescent="0.25">
      <c r="A98" s="42">
        <v>97</v>
      </c>
      <c r="B98" s="17" t="s">
        <v>1169</v>
      </c>
      <c r="C98" s="44" t="s">
        <v>44</v>
      </c>
      <c r="D98" s="46" t="s">
        <v>1171</v>
      </c>
      <c r="E98" s="49" t="s">
        <v>1173</v>
      </c>
      <c r="F98" s="50"/>
      <c r="G98" s="51" t="s">
        <v>1175</v>
      </c>
      <c r="H98" s="54" t="s">
        <v>1177</v>
      </c>
      <c r="I98" s="54" t="s">
        <v>1179</v>
      </c>
    </row>
    <row r="99" spans="1:9" ht="22.5" customHeight="1" x14ac:dyDescent="0.25">
      <c r="A99" s="42">
        <v>98</v>
      </c>
      <c r="B99" s="17" t="s">
        <v>1184</v>
      </c>
      <c r="C99" s="44" t="s">
        <v>20</v>
      </c>
      <c r="D99" s="46" t="s">
        <v>1187</v>
      </c>
      <c r="E99" s="49" t="s">
        <v>1188</v>
      </c>
      <c r="F99" s="50"/>
      <c r="G99" s="51" t="s">
        <v>1191</v>
      </c>
      <c r="H99" s="54" t="s">
        <v>1193</v>
      </c>
      <c r="I99" s="54" t="s">
        <v>1194</v>
      </c>
    </row>
    <row r="100" spans="1:9" ht="22.5" customHeight="1" x14ac:dyDescent="0.25">
      <c r="A100" s="16">
        <v>99</v>
      </c>
      <c r="B100" s="17" t="s">
        <v>1199</v>
      </c>
      <c r="C100" s="44" t="s">
        <v>44</v>
      </c>
      <c r="D100" s="46" t="s">
        <v>1202</v>
      </c>
      <c r="E100" s="49" t="s">
        <v>1205</v>
      </c>
      <c r="F100" s="50"/>
      <c r="G100" s="51" t="s">
        <v>1206</v>
      </c>
      <c r="H100" s="54" t="s">
        <v>1006</v>
      </c>
      <c r="I100" s="54" t="s">
        <v>1007</v>
      </c>
    </row>
    <row r="101" spans="1:9" ht="22.5" customHeight="1" x14ac:dyDescent="0.25">
      <c r="A101" s="42">
        <v>100</v>
      </c>
      <c r="B101" s="17" t="s">
        <v>1214</v>
      </c>
      <c r="C101" s="44" t="s">
        <v>20</v>
      </c>
      <c r="D101" s="46" t="s">
        <v>1217</v>
      </c>
      <c r="E101" s="49" t="s">
        <v>1219</v>
      </c>
      <c r="F101" s="50"/>
      <c r="G101" s="51" t="s">
        <v>1223</v>
      </c>
      <c r="H101" s="28" t="s">
        <v>35</v>
      </c>
      <c r="I101" s="112" t="s">
        <v>37</v>
      </c>
    </row>
    <row r="102" spans="1:9" ht="22.5" customHeight="1" x14ac:dyDescent="0.25">
      <c r="A102" s="42">
        <v>101</v>
      </c>
      <c r="B102" s="17" t="s">
        <v>1229</v>
      </c>
      <c r="C102" s="44" t="s">
        <v>20</v>
      </c>
      <c r="D102" s="46" t="s">
        <v>1231</v>
      </c>
      <c r="E102" s="49" t="s">
        <v>1233</v>
      </c>
      <c r="F102" s="50"/>
      <c r="G102" s="51" t="s">
        <v>1237</v>
      </c>
      <c r="H102" s="54" t="s">
        <v>58</v>
      </c>
      <c r="I102" s="54" t="s">
        <v>61</v>
      </c>
    </row>
    <row r="103" spans="1:9" ht="22.5" customHeight="1" x14ac:dyDescent="0.25">
      <c r="A103" s="42">
        <v>102</v>
      </c>
      <c r="B103" s="17" t="s">
        <v>1245</v>
      </c>
      <c r="C103" s="44" t="s">
        <v>20</v>
      </c>
      <c r="D103" s="46" t="s">
        <v>1248</v>
      </c>
      <c r="E103" s="49" t="s">
        <v>1250</v>
      </c>
      <c r="F103" s="50"/>
      <c r="G103" s="51" t="s">
        <v>1252</v>
      </c>
      <c r="H103" s="54" t="s">
        <v>396</v>
      </c>
      <c r="I103" s="54" t="s">
        <v>397</v>
      </c>
    </row>
    <row r="104" spans="1:9" ht="22.5" customHeight="1" x14ac:dyDescent="0.25">
      <c r="A104" s="16">
        <v>103</v>
      </c>
      <c r="B104" s="17" t="s">
        <v>1261</v>
      </c>
      <c r="C104" s="44" t="s">
        <v>20</v>
      </c>
      <c r="D104" s="46" t="s">
        <v>1264</v>
      </c>
      <c r="E104" s="49" t="s">
        <v>1266</v>
      </c>
      <c r="F104" s="50"/>
      <c r="G104" s="51" t="s">
        <v>1270</v>
      </c>
      <c r="H104" s="54"/>
      <c r="I104" s="54"/>
    </row>
    <row r="105" spans="1:9" ht="22.5" customHeight="1" x14ac:dyDescent="0.25">
      <c r="A105" s="42">
        <v>104</v>
      </c>
      <c r="B105" s="17" t="s">
        <v>1277</v>
      </c>
      <c r="C105" s="44" t="s">
        <v>44</v>
      </c>
      <c r="D105" s="46" t="s">
        <v>1281</v>
      </c>
      <c r="E105" s="49" t="s">
        <v>1283</v>
      </c>
      <c r="F105" s="50"/>
      <c r="G105" s="51" t="s">
        <v>1287</v>
      </c>
      <c r="H105" s="54" t="s">
        <v>1290</v>
      </c>
      <c r="I105" s="54" t="s">
        <v>1291</v>
      </c>
    </row>
    <row r="106" spans="1:9" ht="22.5" customHeight="1" x14ac:dyDescent="0.25">
      <c r="A106" s="42">
        <v>105</v>
      </c>
      <c r="B106" s="17" t="s">
        <v>1296</v>
      </c>
      <c r="C106" s="44" t="s">
        <v>20</v>
      </c>
      <c r="D106" s="46" t="s">
        <v>914</v>
      </c>
      <c r="E106" s="49" t="s">
        <v>1303</v>
      </c>
      <c r="F106" s="50"/>
      <c r="G106" s="51" t="s">
        <v>1304</v>
      </c>
      <c r="H106" s="54" t="s">
        <v>1307</v>
      </c>
      <c r="I106" s="54" t="s">
        <v>1308</v>
      </c>
    </row>
    <row r="107" spans="1:9" ht="22.5" customHeight="1" x14ac:dyDescent="0.25">
      <c r="A107" s="42">
        <v>106</v>
      </c>
      <c r="B107" s="17" t="s">
        <v>1314</v>
      </c>
      <c r="C107" s="44" t="s">
        <v>20</v>
      </c>
      <c r="D107" s="46" t="s">
        <v>388</v>
      </c>
      <c r="E107" s="49" t="s">
        <v>1320</v>
      </c>
      <c r="F107" s="50"/>
      <c r="G107" s="51" t="s">
        <v>1321</v>
      </c>
      <c r="H107" s="54" t="s">
        <v>396</v>
      </c>
      <c r="I107" s="54" t="s">
        <v>397</v>
      </c>
    </row>
    <row r="108" spans="1:9" ht="22.5" customHeight="1" x14ac:dyDescent="0.25">
      <c r="A108" s="16">
        <v>107</v>
      </c>
      <c r="B108" s="17" t="s">
        <v>1329</v>
      </c>
      <c r="C108" s="44" t="s">
        <v>20</v>
      </c>
      <c r="D108" s="46" t="s">
        <v>1333</v>
      </c>
      <c r="E108" s="49" t="s">
        <v>1334</v>
      </c>
      <c r="F108" s="50"/>
      <c r="G108" s="51" t="s">
        <v>1336</v>
      </c>
      <c r="H108" s="54" t="s">
        <v>1339</v>
      </c>
      <c r="I108" s="54" t="s">
        <v>1340</v>
      </c>
    </row>
    <row r="109" spans="1:9" ht="22.5" customHeight="1" x14ac:dyDescent="0.25">
      <c r="A109" s="42">
        <v>108</v>
      </c>
      <c r="B109" s="17" t="s">
        <v>1346</v>
      </c>
      <c r="C109" s="44" t="s">
        <v>44</v>
      </c>
      <c r="D109" s="46" t="s">
        <v>1349</v>
      </c>
      <c r="E109" s="49" t="s">
        <v>1350</v>
      </c>
      <c r="F109" s="50"/>
      <c r="G109" s="51" t="s">
        <v>1351</v>
      </c>
      <c r="H109" s="54" t="s">
        <v>1353</v>
      </c>
      <c r="I109" s="54" t="s">
        <v>1354</v>
      </c>
    </row>
    <row r="110" spans="1:9" ht="22.5" customHeight="1" x14ac:dyDescent="0.25">
      <c r="A110" s="42">
        <v>109</v>
      </c>
      <c r="B110" s="17" t="s">
        <v>1359</v>
      </c>
      <c r="C110" s="44" t="s">
        <v>44</v>
      </c>
      <c r="D110" s="46" t="s">
        <v>1361</v>
      </c>
      <c r="E110" s="49" t="s">
        <v>1362</v>
      </c>
      <c r="F110" s="50"/>
      <c r="G110" s="51" t="s">
        <v>1364</v>
      </c>
      <c r="H110" s="54" t="s">
        <v>1366</v>
      </c>
      <c r="I110" s="54" t="s">
        <v>1368</v>
      </c>
    </row>
    <row r="111" spans="1:9" ht="22.5" customHeight="1" x14ac:dyDescent="0.25">
      <c r="A111" s="42">
        <v>110</v>
      </c>
      <c r="B111" s="17" t="s">
        <v>1372</v>
      </c>
      <c r="C111" s="44" t="s">
        <v>20</v>
      </c>
      <c r="D111" s="46" t="s">
        <v>914</v>
      </c>
      <c r="E111" s="49" t="s">
        <v>1374</v>
      </c>
      <c r="F111" s="50"/>
      <c r="G111" s="51" t="s">
        <v>1377</v>
      </c>
      <c r="H111" s="54" t="s">
        <v>1307</v>
      </c>
      <c r="I111" s="54" t="s">
        <v>1308</v>
      </c>
    </row>
    <row r="112" spans="1:9" ht="22.5" customHeight="1" x14ac:dyDescent="0.25">
      <c r="A112" s="16">
        <v>111</v>
      </c>
      <c r="B112" s="17" t="s">
        <v>1382</v>
      </c>
      <c r="C112" s="44" t="s">
        <v>20</v>
      </c>
      <c r="D112" s="46" t="s">
        <v>1384</v>
      </c>
      <c r="E112" s="49" t="s">
        <v>1385</v>
      </c>
      <c r="F112" s="50"/>
      <c r="G112" s="51" t="s">
        <v>1388</v>
      </c>
      <c r="H112" s="54" t="s">
        <v>1390</v>
      </c>
      <c r="I112" s="54" t="s">
        <v>1392</v>
      </c>
    </row>
    <row r="113" spans="1:9" ht="22.5" customHeight="1" x14ac:dyDescent="0.25">
      <c r="A113" s="42">
        <v>112</v>
      </c>
      <c r="B113" s="17" t="s">
        <v>1394</v>
      </c>
      <c r="C113" s="44" t="s">
        <v>44</v>
      </c>
      <c r="D113" s="46" t="s">
        <v>27</v>
      </c>
      <c r="E113" s="49" t="s">
        <v>1398</v>
      </c>
      <c r="F113" s="50"/>
      <c r="G113" s="51" t="s">
        <v>1401</v>
      </c>
      <c r="H113" s="28" t="s">
        <v>35</v>
      </c>
      <c r="I113" s="112" t="s">
        <v>37</v>
      </c>
    </row>
    <row r="114" spans="1:9" ht="22.5" customHeight="1" x14ac:dyDescent="0.25">
      <c r="A114" s="42">
        <v>113</v>
      </c>
      <c r="B114" s="17" t="s">
        <v>1405</v>
      </c>
      <c r="C114" s="44" t="s">
        <v>44</v>
      </c>
      <c r="D114" s="46" t="s">
        <v>1408</v>
      </c>
      <c r="E114" s="49" t="s">
        <v>1410</v>
      </c>
      <c r="F114" s="50"/>
      <c r="G114" s="51" t="s">
        <v>1411</v>
      </c>
      <c r="H114" s="54" t="s">
        <v>1413</v>
      </c>
      <c r="I114" s="54" t="s">
        <v>1414</v>
      </c>
    </row>
    <row r="115" spans="1:9" ht="22.5" customHeight="1" x14ac:dyDescent="0.25">
      <c r="A115" s="42">
        <v>114</v>
      </c>
      <c r="B115" s="17" t="s">
        <v>1419</v>
      </c>
      <c r="C115" s="44" t="s">
        <v>44</v>
      </c>
      <c r="D115" s="46" t="s">
        <v>304</v>
      </c>
      <c r="E115" s="49" t="s">
        <v>306</v>
      </c>
      <c r="F115" s="50"/>
      <c r="G115" s="51" t="s">
        <v>312</v>
      </c>
      <c r="H115" s="54" t="s">
        <v>1422</v>
      </c>
      <c r="I115" s="54" t="s">
        <v>1424</v>
      </c>
    </row>
    <row r="116" spans="1:9" ht="22.5" customHeight="1" x14ac:dyDescent="0.25">
      <c r="A116" s="16">
        <v>115</v>
      </c>
      <c r="B116" s="17" t="s">
        <v>1426</v>
      </c>
      <c r="C116" s="44" t="s">
        <v>20</v>
      </c>
      <c r="D116" s="46" t="s">
        <v>1427</v>
      </c>
      <c r="E116" s="49" t="s">
        <v>1428</v>
      </c>
      <c r="F116" s="50"/>
      <c r="G116" s="51" t="s">
        <v>1430</v>
      </c>
      <c r="H116" s="54" t="s">
        <v>1431</v>
      </c>
      <c r="I116" s="54" t="s">
        <v>1433</v>
      </c>
    </row>
    <row r="117" spans="1:9" ht="22.5" customHeight="1" x14ac:dyDescent="0.25">
      <c r="A117" s="42">
        <v>116</v>
      </c>
      <c r="B117" s="17" t="s">
        <v>1436</v>
      </c>
      <c r="C117" s="44" t="s">
        <v>20</v>
      </c>
      <c r="D117" s="46" t="s">
        <v>1438</v>
      </c>
      <c r="E117" s="49" t="s">
        <v>1439</v>
      </c>
      <c r="F117" s="50"/>
      <c r="G117" s="51" t="s">
        <v>1443</v>
      </c>
      <c r="H117" s="54" t="s">
        <v>94</v>
      </c>
      <c r="I117" s="54" t="s">
        <v>95</v>
      </c>
    </row>
    <row r="118" spans="1:9" ht="22.5" customHeight="1" x14ac:dyDescent="0.25">
      <c r="A118" s="42">
        <v>117</v>
      </c>
      <c r="B118" s="17" t="s">
        <v>1446</v>
      </c>
      <c r="C118" s="44" t="s">
        <v>44</v>
      </c>
      <c r="D118" s="46" t="s">
        <v>1449</v>
      </c>
      <c r="E118" s="49" t="s">
        <v>1451</v>
      </c>
      <c r="F118" s="50"/>
      <c r="G118" s="51" t="s">
        <v>1452</v>
      </c>
      <c r="H118" s="54" t="s">
        <v>1454</v>
      </c>
      <c r="I118" s="54" t="s">
        <v>1455</v>
      </c>
    </row>
    <row r="119" spans="1:9" ht="22.5" customHeight="1" x14ac:dyDescent="0.25">
      <c r="A119" s="42">
        <v>118</v>
      </c>
      <c r="B119" s="17" t="s">
        <v>1460</v>
      </c>
      <c r="C119" s="44" t="s">
        <v>44</v>
      </c>
      <c r="D119" s="46" t="s">
        <v>1461</v>
      </c>
      <c r="E119" s="49" t="s">
        <v>1462</v>
      </c>
      <c r="F119" s="50"/>
      <c r="G119" s="51" t="s">
        <v>1464</v>
      </c>
      <c r="H119" s="54" t="s">
        <v>1466</v>
      </c>
      <c r="I119" s="54" t="s">
        <v>1468</v>
      </c>
    </row>
    <row r="120" spans="1:9" ht="22.5" customHeight="1" x14ac:dyDescent="0.25">
      <c r="A120" s="16">
        <v>119</v>
      </c>
      <c r="B120" s="17" t="s">
        <v>1470</v>
      </c>
      <c r="C120" s="44" t="s">
        <v>44</v>
      </c>
      <c r="D120" s="46" t="s">
        <v>1472</v>
      </c>
      <c r="E120" s="49" t="s">
        <v>1474</v>
      </c>
      <c r="F120" s="50"/>
      <c r="G120" s="51" t="s">
        <v>1476</v>
      </c>
      <c r="H120" s="54" t="s">
        <v>1478</v>
      </c>
      <c r="I120" s="54" t="s">
        <v>1479</v>
      </c>
    </row>
    <row r="121" spans="1:9" ht="22.5" customHeight="1" x14ac:dyDescent="0.25">
      <c r="A121" s="42">
        <v>120</v>
      </c>
      <c r="B121" s="17" t="s">
        <v>1481</v>
      </c>
      <c r="C121" s="44" t="s">
        <v>20</v>
      </c>
      <c r="D121" s="46" t="s">
        <v>1483</v>
      </c>
      <c r="E121" s="49" t="s">
        <v>1485</v>
      </c>
      <c r="F121" s="50"/>
      <c r="G121" s="51" t="s">
        <v>1487</v>
      </c>
      <c r="H121" s="54" t="s">
        <v>1488</v>
      </c>
      <c r="I121" s="54" t="s">
        <v>1490</v>
      </c>
    </row>
    <row r="122" spans="1:9" ht="22.5" customHeight="1" x14ac:dyDescent="0.25">
      <c r="A122" s="16">
        <v>121</v>
      </c>
      <c r="B122" s="17" t="s">
        <v>1493</v>
      </c>
      <c r="C122" s="44" t="s">
        <v>20</v>
      </c>
      <c r="D122" s="46" t="s">
        <v>1495</v>
      </c>
      <c r="E122" s="49" t="s">
        <v>1497</v>
      </c>
      <c r="F122" s="50"/>
      <c r="G122" s="51" t="s">
        <v>1498</v>
      </c>
      <c r="H122" s="54" t="s">
        <v>1500</v>
      </c>
      <c r="I122" s="54" t="s">
        <v>1502</v>
      </c>
    </row>
    <row r="123" spans="1:9" ht="22.5" customHeight="1" x14ac:dyDescent="0.25">
      <c r="A123" s="42">
        <v>122</v>
      </c>
      <c r="B123" s="17" t="s">
        <v>1506</v>
      </c>
      <c r="C123" s="44" t="s">
        <v>20</v>
      </c>
      <c r="D123" s="46" t="s">
        <v>1171</v>
      </c>
      <c r="E123" s="49" t="s">
        <v>1508</v>
      </c>
      <c r="F123" s="50"/>
      <c r="G123" s="51" t="s">
        <v>1511</v>
      </c>
      <c r="H123" s="54" t="s">
        <v>1513</v>
      </c>
      <c r="I123" s="54" t="s">
        <v>1515</v>
      </c>
    </row>
    <row r="124" spans="1:9" ht="22.5" customHeight="1" x14ac:dyDescent="0.25">
      <c r="A124" s="42">
        <v>123</v>
      </c>
      <c r="B124" s="17" t="s">
        <v>1518</v>
      </c>
      <c r="C124" s="44" t="s">
        <v>44</v>
      </c>
      <c r="D124" s="46" t="s">
        <v>942</v>
      </c>
      <c r="E124" s="49" t="s">
        <v>1521</v>
      </c>
      <c r="F124" s="50"/>
      <c r="G124" s="51" t="s">
        <v>1522</v>
      </c>
      <c r="H124" s="54" t="s">
        <v>945</v>
      </c>
      <c r="I124" s="54" t="s">
        <v>946</v>
      </c>
    </row>
    <row r="125" spans="1:9" ht="22.5" customHeight="1" x14ac:dyDescent="0.25">
      <c r="A125" s="42">
        <v>124</v>
      </c>
      <c r="B125" s="17" t="s">
        <v>1526</v>
      </c>
      <c r="C125" s="44" t="s">
        <v>20</v>
      </c>
      <c r="D125" s="46" t="s">
        <v>1528</v>
      </c>
      <c r="E125" s="49" t="s">
        <v>1530</v>
      </c>
      <c r="F125" s="50"/>
      <c r="G125" s="51" t="s">
        <v>1532</v>
      </c>
      <c r="H125" s="54" t="s">
        <v>1533</v>
      </c>
      <c r="I125" s="54" t="s">
        <v>1534</v>
      </c>
    </row>
    <row r="126" spans="1:9" ht="22.5" customHeight="1" x14ac:dyDescent="0.25">
      <c r="A126" s="16">
        <v>125</v>
      </c>
      <c r="B126" s="17" t="s">
        <v>1536</v>
      </c>
      <c r="C126" s="44" t="s">
        <v>20</v>
      </c>
      <c r="D126" s="46" t="s">
        <v>1538</v>
      </c>
      <c r="E126" s="49" t="s">
        <v>1539</v>
      </c>
      <c r="F126" s="50"/>
      <c r="G126" s="51" t="s">
        <v>1541</v>
      </c>
      <c r="H126" s="54" t="s">
        <v>1542</v>
      </c>
      <c r="I126" s="54" t="s">
        <v>1544</v>
      </c>
    </row>
    <row r="127" spans="1:9" ht="22.5" customHeight="1" x14ac:dyDescent="0.25">
      <c r="A127" s="42">
        <v>126</v>
      </c>
      <c r="B127" s="17" t="s">
        <v>1545</v>
      </c>
      <c r="C127" s="44" t="s">
        <v>20</v>
      </c>
      <c r="D127" s="46" t="s">
        <v>1546</v>
      </c>
      <c r="E127" s="49" t="s">
        <v>1547</v>
      </c>
      <c r="F127" s="50"/>
      <c r="G127" s="51" t="s">
        <v>1550</v>
      </c>
      <c r="H127" s="54" t="s">
        <v>1551</v>
      </c>
      <c r="I127" s="54" t="s">
        <v>1553</v>
      </c>
    </row>
    <row r="128" spans="1:9" ht="22.5" customHeight="1" x14ac:dyDescent="0.25">
      <c r="A128" s="42">
        <v>127</v>
      </c>
      <c r="B128" s="17" t="s">
        <v>1555</v>
      </c>
      <c r="C128" s="44" t="s">
        <v>20</v>
      </c>
      <c r="D128" s="46" t="s">
        <v>1557</v>
      </c>
      <c r="E128" s="49" t="s">
        <v>1558</v>
      </c>
      <c r="F128" s="50"/>
      <c r="G128" s="51" t="s">
        <v>1560</v>
      </c>
      <c r="H128" s="54" t="s">
        <v>617</v>
      </c>
      <c r="I128" s="54" t="s">
        <v>619</v>
      </c>
    </row>
    <row r="129" spans="1:9" ht="22.5" customHeight="1" x14ac:dyDescent="0.25">
      <c r="A129" s="42">
        <v>128</v>
      </c>
      <c r="B129" s="17" t="s">
        <v>1562</v>
      </c>
      <c r="C129" s="44" t="s">
        <v>44</v>
      </c>
      <c r="D129" s="46" t="s">
        <v>27</v>
      </c>
      <c r="E129" s="49" t="s">
        <v>1565</v>
      </c>
      <c r="F129" s="50"/>
      <c r="G129" s="51" t="s">
        <v>1561</v>
      </c>
      <c r="H129" s="28" t="s">
        <v>35</v>
      </c>
      <c r="I129" s="112" t="s">
        <v>37</v>
      </c>
    </row>
    <row r="130" spans="1:9" ht="22.5" customHeight="1" x14ac:dyDescent="0.25">
      <c r="A130" s="16">
        <v>129</v>
      </c>
      <c r="B130" s="17" t="s">
        <v>1568</v>
      </c>
      <c r="C130" s="44" t="s">
        <v>20</v>
      </c>
      <c r="D130" s="46" t="s">
        <v>1570</v>
      </c>
      <c r="E130" s="49" t="s">
        <v>1571</v>
      </c>
      <c r="F130" s="50"/>
      <c r="G130" s="51" t="s">
        <v>1573</v>
      </c>
      <c r="H130" s="54" t="s">
        <v>1576</v>
      </c>
      <c r="I130" s="54" t="s">
        <v>1578</v>
      </c>
    </row>
    <row r="131" spans="1:9" ht="22.5" customHeight="1" x14ac:dyDescent="0.25">
      <c r="A131" s="42">
        <v>130</v>
      </c>
      <c r="B131" s="17" t="s">
        <v>1584</v>
      </c>
      <c r="C131" s="44" t="s">
        <v>20</v>
      </c>
      <c r="D131" s="46" t="s">
        <v>368</v>
      </c>
      <c r="E131" s="49" t="s">
        <v>1587</v>
      </c>
      <c r="F131" s="50"/>
      <c r="G131" s="51" t="s">
        <v>1589</v>
      </c>
      <c r="H131" s="54" t="s">
        <v>1542</v>
      </c>
      <c r="I131" s="54" t="s">
        <v>1544</v>
      </c>
    </row>
    <row r="132" spans="1:9" ht="22.5" customHeight="1" x14ac:dyDescent="0.25">
      <c r="A132" s="42">
        <v>131</v>
      </c>
      <c r="B132" s="17" t="s">
        <v>1598</v>
      </c>
      <c r="C132" s="44" t="s">
        <v>20</v>
      </c>
      <c r="D132" s="46" t="s">
        <v>1067</v>
      </c>
      <c r="E132" s="49" t="s">
        <v>1601</v>
      </c>
      <c r="F132" s="50"/>
      <c r="G132" s="51" t="s">
        <v>1604</v>
      </c>
      <c r="H132" s="28" t="s">
        <v>35</v>
      </c>
      <c r="I132" s="112" t="s">
        <v>37</v>
      </c>
    </row>
    <row r="133" spans="1:9" ht="22.5" customHeight="1" x14ac:dyDescent="0.25">
      <c r="A133" s="42">
        <v>132</v>
      </c>
      <c r="B133" s="17" t="s">
        <v>1612</v>
      </c>
      <c r="C133" s="44" t="s">
        <v>20</v>
      </c>
      <c r="D133" s="46" t="s">
        <v>1615</v>
      </c>
      <c r="E133" s="49" t="s">
        <v>1617</v>
      </c>
      <c r="F133" s="50"/>
      <c r="G133" s="51" t="s">
        <v>1621</v>
      </c>
      <c r="H133" s="54" t="s">
        <v>1307</v>
      </c>
      <c r="I133" s="54" t="s">
        <v>1308</v>
      </c>
    </row>
    <row r="134" spans="1:9" ht="22.5" customHeight="1" x14ac:dyDescent="0.25">
      <c r="A134" s="16">
        <v>133</v>
      </c>
      <c r="B134" s="17" t="s">
        <v>1627</v>
      </c>
      <c r="C134" s="44" t="s">
        <v>20</v>
      </c>
      <c r="D134" s="46" t="s">
        <v>1088</v>
      </c>
      <c r="E134" s="49" t="s">
        <v>1629</v>
      </c>
      <c r="F134" s="50"/>
      <c r="G134" s="51" t="s">
        <v>1633</v>
      </c>
      <c r="H134" s="54" t="s">
        <v>617</v>
      </c>
      <c r="I134" s="54" t="s">
        <v>619</v>
      </c>
    </row>
    <row r="135" spans="1:9" ht="22.5" customHeight="1" x14ac:dyDescent="0.25">
      <c r="A135" s="42">
        <v>134</v>
      </c>
      <c r="B135" s="17" t="s">
        <v>1639</v>
      </c>
      <c r="C135" s="44" t="s">
        <v>20</v>
      </c>
      <c r="D135" s="46" t="s">
        <v>827</v>
      </c>
      <c r="E135" s="49" t="s">
        <v>1642</v>
      </c>
      <c r="F135" s="50"/>
      <c r="G135" s="51" t="s">
        <v>1647</v>
      </c>
      <c r="H135" s="54" t="s">
        <v>94</v>
      </c>
      <c r="I135" s="54" t="s">
        <v>95</v>
      </c>
    </row>
    <row r="136" spans="1:9" ht="22.5" customHeight="1" x14ac:dyDescent="0.25">
      <c r="A136" s="42">
        <v>135</v>
      </c>
      <c r="B136" s="17" t="s">
        <v>1653</v>
      </c>
      <c r="C136" s="44" t="s">
        <v>20</v>
      </c>
      <c r="D136" s="46" t="s">
        <v>1657</v>
      </c>
      <c r="E136" s="49" t="s">
        <v>1660</v>
      </c>
      <c r="F136" s="50"/>
      <c r="G136" s="51" t="s">
        <v>1661</v>
      </c>
      <c r="H136" s="54" t="s">
        <v>1663</v>
      </c>
      <c r="I136" s="54" t="s">
        <v>1665</v>
      </c>
    </row>
    <row r="137" spans="1:9" ht="22.5" customHeight="1" x14ac:dyDescent="0.25">
      <c r="A137" s="42">
        <v>136</v>
      </c>
      <c r="B137" s="17" t="s">
        <v>1671</v>
      </c>
      <c r="C137" s="44" t="s">
        <v>44</v>
      </c>
      <c r="D137" s="46" t="s">
        <v>1672</v>
      </c>
      <c r="E137" s="49" t="s">
        <v>1674</v>
      </c>
      <c r="F137" s="50"/>
      <c r="G137" s="51" t="s">
        <v>1676</v>
      </c>
      <c r="H137" s="54" t="s">
        <v>1678</v>
      </c>
      <c r="I137" s="54" t="s">
        <v>1681</v>
      </c>
    </row>
    <row r="138" spans="1:9" ht="22.5" customHeight="1" x14ac:dyDescent="0.25">
      <c r="A138" s="16">
        <v>137</v>
      </c>
      <c r="B138" s="17" t="s">
        <v>1685</v>
      </c>
      <c r="C138" s="44" t="s">
        <v>44</v>
      </c>
      <c r="D138" s="46" t="s">
        <v>1557</v>
      </c>
      <c r="E138" s="49" t="s">
        <v>1690</v>
      </c>
      <c r="F138" s="50"/>
      <c r="G138" s="51" t="s">
        <v>1693</v>
      </c>
      <c r="H138" s="54" t="s">
        <v>617</v>
      </c>
      <c r="I138" s="54" t="s">
        <v>619</v>
      </c>
    </row>
    <row r="139" spans="1:9" ht="22.5" customHeight="1" x14ac:dyDescent="0.25">
      <c r="A139" s="42">
        <v>138</v>
      </c>
      <c r="B139" s="17" t="s">
        <v>1698</v>
      </c>
      <c r="C139" s="44" t="s">
        <v>44</v>
      </c>
      <c r="D139" s="46" t="s">
        <v>1088</v>
      </c>
      <c r="E139" s="49" t="s">
        <v>1704</v>
      </c>
      <c r="F139" s="50"/>
      <c r="G139" s="51" t="s">
        <v>1706</v>
      </c>
      <c r="H139" s="54" t="s">
        <v>617</v>
      </c>
      <c r="I139" s="54" t="s">
        <v>619</v>
      </c>
    </row>
    <row r="140" spans="1:9" ht="22.5" customHeight="1" x14ac:dyDescent="0.25">
      <c r="A140" s="42">
        <v>139</v>
      </c>
      <c r="B140" s="17" t="s">
        <v>1713</v>
      </c>
      <c r="C140" s="44" t="s">
        <v>44</v>
      </c>
      <c r="D140" s="46" t="s">
        <v>1717</v>
      </c>
      <c r="E140" s="49" t="s">
        <v>1718</v>
      </c>
      <c r="F140" s="50"/>
      <c r="G140" s="51" t="s">
        <v>1722</v>
      </c>
      <c r="H140" s="54" t="s">
        <v>617</v>
      </c>
      <c r="I140" s="54" t="s">
        <v>619</v>
      </c>
    </row>
    <row r="141" spans="1:9" ht="22.5" customHeight="1" x14ac:dyDescent="0.25">
      <c r="A141" s="42">
        <v>140</v>
      </c>
      <c r="B141" s="17" t="s">
        <v>269</v>
      </c>
      <c r="C141" s="44" t="s">
        <v>44</v>
      </c>
      <c r="D141" s="46" t="s">
        <v>1730</v>
      </c>
      <c r="E141" s="49" t="s">
        <v>287</v>
      </c>
      <c r="F141" s="50"/>
      <c r="G141" s="51" t="s">
        <v>284</v>
      </c>
      <c r="H141" s="54" t="s">
        <v>1736</v>
      </c>
      <c r="I141" s="54" t="s">
        <v>1739</v>
      </c>
    </row>
    <row r="142" spans="1:9" ht="22.5" customHeight="1" x14ac:dyDescent="0.25">
      <c r="A142" s="16">
        <v>141</v>
      </c>
      <c r="B142" s="17" t="s">
        <v>1743</v>
      </c>
      <c r="C142" s="44" t="s">
        <v>20</v>
      </c>
      <c r="D142" s="46" t="s">
        <v>1067</v>
      </c>
      <c r="E142" s="49" t="s">
        <v>1611</v>
      </c>
      <c r="F142" s="50"/>
      <c r="G142" s="51" t="s">
        <v>1752</v>
      </c>
      <c r="H142" s="28" t="s">
        <v>35</v>
      </c>
      <c r="I142" s="112" t="s">
        <v>37</v>
      </c>
    </row>
    <row r="143" spans="1:9" ht="22.5" customHeight="1" x14ac:dyDescent="0.25">
      <c r="A143" s="42">
        <v>142</v>
      </c>
      <c r="B143" s="17" t="s">
        <v>1760</v>
      </c>
      <c r="C143" s="44" t="s">
        <v>44</v>
      </c>
      <c r="D143" s="46" t="s">
        <v>1438</v>
      </c>
      <c r="E143" s="49" t="s">
        <v>1762</v>
      </c>
      <c r="F143" s="50"/>
      <c r="G143" s="51" t="s">
        <v>1765</v>
      </c>
      <c r="H143" s="54" t="s">
        <v>94</v>
      </c>
      <c r="I143" s="54" t="s">
        <v>95</v>
      </c>
    </row>
    <row r="144" spans="1:9" ht="22.5" customHeight="1" x14ac:dyDescent="0.25">
      <c r="A144" s="42">
        <v>143</v>
      </c>
      <c r="B144" s="17" t="s">
        <v>1773</v>
      </c>
      <c r="C144" s="44" t="s">
        <v>20</v>
      </c>
      <c r="D144" s="46" t="s">
        <v>1777</v>
      </c>
      <c r="E144" s="49" t="s">
        <v>1779</v>
      </c>
      <c r="F144" s="50"/>
      <c r="G144" s="51" t="s">
        <v>1782</v>
      </c>
      <c r="H144" s="54" t="s">
        <v>1784</v>
      </c>
      <c r="I144" s="54" t="s">
        <v>1787</v>
      </c>
    </row>
    <row r="145" spans="1:9" ht="22.5" customHeight="1" x14ac:dyDescent="0.25">
      <c r="A145" s="42">
        <v>144</v>
      </c>
      <c r="B145" s="17" t="s">
        <v>1790</v>
      </c>
      <c r="C145" s="44" t="s">
        <v>44</v>
      </c>
      <c r="D145" s="46" t="s">
        <v>1792</v>
      </c>
      <c r="E145" s="49" t="s">
        <v>1794</v>
      </c>
      <c r="F145" s="50"/>
      <c r="G145" s="51" t="s">
        <v>1797</v>
      </c>
      <c r="H145" s="54" t="s">
        <v>1799</v>
      </c>
      <c r="I145" s="54" t="s">
        <v>1801</v>
      </c>
    </row>
    <row r="146" spans="1:9" ht="22.5" customHeight="1" x14ac:dyDescent="0.25">
      <c r="A146" s="16">
        <v>145</v>
      </c>
      <c r="B146" s="17" t="s">
        <v>1806</v>
      </c>
      <c r="C146" s="44" t="s">
        <v>20</v>
      </c>
      <c r="D146" s="46" t="s">
        <v>827</v>
      </c>
      <c r="E146" s="49" t="s">
        <v>1810</v>
      </c>
      <c r="F146" s="50"/>
      <c r="G146" s="51" t="s">
        <v>1812</v>
      </c>
      <c r="H146" s="54" t="s">
        <v>94</v>
      </c>
      <c r="I146" s="54" t="s">
        <v>95</v>
      </c>
    </row>
    <row r="147" spans="1:9" ht="22.5" customHeight="1" x14ac:dyDescent="0.25">
      <c r="A147" s="42">
        <v>146</v>
      </c>
      <c r="B147" s="17" t="s">
        <v>1817</v>
      </c>
      <c r="C147" s="44" t="s">
        <v>44</v>
      </c>
      <c r="D147" s="46" t="s">
        <v>1503</v>
      </c>
      <c r="E147" s="49" t="s">
        <v>1282</v>
      </c>
      <c r="F147" s="50"/>
      <c r="G147" s="51" t="s">
        <v>1505</v>
      </c>
      <c r="H147" s="54"/>
      <c r="I147" s="54"/>
    </row>
    <row r="148" spans="1:9" ht="22.5" customHeight="1" x14ac:dyDescent="0.25">
      <c r="A148" s="42">
        <v>147</v>
      </c>
      <c r="B148" s="17" t="s">
        <v>1827</v>
      </c>
      <c r="C148" s="44" t="s">
        <v>44</v>
      </c>
      <c r="D148" s="46" t="s">
        <v>1829</v>
      </c>
      <c r="E148" s="49" t="s">
        <v>1830</v>
      </c>
      <c r="F148" s="50"/>
      <c r="G148" s="51" t="s">
        <v>1833</v>
      </c>
      <c r="H148" s="54" t="s">
        <v>1836</v>
      </c>
      <c r="I148" s="54" t="s">
        <v>1838</v>
      </c>
    </row>
    <row r="149" spans="1:9" ht="22.5" customHeight="1" x14ac:dyDescent="0.25">
      <c r="A149" s="42">
        <v>148</v>
      </c>
      <c r="B149" s="17" t="s">
        <v>1843</v>
      </c>
      <c r="C149" s="44" t="s">
        <v>20</v>
      </c>
      <c r="D149" s="46" t="s">
        <v>27</v>
      </c>
      <c r="E149" s="49" t="s">
        <v>1356</v>
      </c>
      <c r="F149" s="50"/>
      <c r="G149" s="51" t="s">
        <v>1851</v>
      </c>
      <c r="H149" s="28" t="s">
        <v>35</v>
      </c>
      <c r="I149" s="112" t="s">
        <v>37</v>
      </c>
    </row>
    <row r="150" spans="1:9" ht="22.5" customHeight="1" x14ac:dyDescent="0.25">
      <c r="A150" s="16">
        <v>149</v>
      </c>
      <c r="B150" s="17" t="s">
        <v>1861</v>
      </c>
      <c r="C150" s="44" t="s">
        <v>20</v>
      </c>
      <c r="D150" s="46" t="s">
        <v>1867</v>
      </c>
      <c r="E150" s="49" t="s">
        <v>1869</v>
      </c>
      <c r="F150" s="50"/>
      <c r="G150" s="51" t="s">
        <v>1871</v>
      </c>
      <c r="H150" s="54" t="s">
        <v>1872</v>
      </c>
      <c r="I150" s="54" t="s">
        <v>1874</v>
      </c>
    </row>
    <row r="151" spans="1:9" ht="22.5" customHeight="1" x14ac:dyDescent="0.25">
      <c r="A151" s="42">
        <v>150</v>
      </c>
      <c r="B151" s="17" t="s">
        <v>1569</v>
      </c>
      <c r="C151" s="44" t="s">
        <v>20</v>
      </c>
      <c r="D151" s="46" t="s">
        <v>1572</v>
      </c>
      <c r="E151" s="49" t="s">
        <v>1386</v>
      </c>
      <c r="F151" s="50"/>
      <c r="G151" s="51" t="s">
        <v>1577</v>
      </c>
      <c r="H151" s="54" t="s">
        <v>1888</v>
      </c>
      <c r="I151" s="54" t="s">
        <v>1891</v>
      </c>
    </row>
    <row r="152" spans="1:9" ht="22.5" customHeight="1" x14ac:dyDescent="0.25">
      <c r="A152" s="16">
        <v>151</v>
      </c>
      <c r="B152" s="17" t="s">
        <v>1897</v>
      </c>
      <c r="C152" s="44" t="s">
        <v>44</v>
      </c>
      <c r="D152" s="46" t="s">
        <v>1901</v>
      </c>
      <c r="E152" s="49" t="s">
        <v>1903</v>
      </c>
      <c r="F152" s="50"/>
      <c r="G152" s="51" t="s">
        <v>1908</v>
      </c>
      <c r="H152" s="54" t="s">
        <v>1911</v>
      </c>
      <c r="I152" s="54" t="s">
        <v>1915</v>
      </c>
    </row>
    <row r="153" spans="1:9" ht="22.5" customHeight="1" x14ac:dyDescent="0.25">
      <c r="A153" s="42">
        <v>152</v>
      </c>
      <c r="B153" s="17" t="s">
        <v>1923</v>
      </c>
      <c r="C153" s="44" t="s">
        <v>20</v>
      </c>
      <c r="D153" s="46" t="s">
        <v>1925</v>
      </c>
      <c r="E153" s="49" t="s">
        <v>1926</v>
      </c>
      <c r="F153" s="50"/>
      <c r="G153" s="51" t="s">
        <v>1928</v>
      </c>
      <c r="H153" s="54" t="s">
        <v>58</v>
      </c>
      <c r="I153" s="54" t="s">
        <v>61</v>
      </c>
    </row>
    <row r="154" spans="1:9" ht="22.5" customHeight="1" x14ac:dyDescent="0.25">
      <c r="A154" s="42">
        <v>153</v>
      </c>
      <c r="B154" s="17" t="s">
        <v>1939</v>
      </c>
      <c r="C154" s="44" t="s">
        <v>20</v>
      </c>
      <c r="D154" s="46" t="s">
        <v>1945</v>
      </c>
      <c r="E154" s="49" t="s">
        <v>1947</v>
      </c>
      <c r="F154" s="50"/>
      <c r="G154" s="51" t="s">
        <v>1951</v>
      </c>
      <c r="H154" s="54" t="s">
        <v>1954</v>
      </c>
      <c r="I154" s="54" t="s">
        <v>1958</v>
      </c>
    </row>
    <row r="155" spans="1:9" ht="22.5" customHeight="1" x14ac:dyDescent="0.25">
      <c r="A155" s="42">
        <v>154</v>
      </c>
      <c r="B155" s="17" t="s">
        <v>1965</v>
      </c>
      <c r="C155" s="44" t="s">
        <v>20</v>
      </c>
      <c r="D155" s="46" t="s">
        <v>827</v>
      </c>
      <c r="E155" s="49" t="s">
        <v>1970</v>
      </c>
      <c r="F155" s="50"/>
      <c r="G155" s="51" t="s">
        <v>1975</v>
      </c>
      <c r="H155" s="54" t="s">
        <v>94</v>
      </c>
      <c r="I155" s="54" t="s">
        <v>95</v>
      </c>
    </row>
    <row r="156" spans="1:9" ht="22.5" customHeight="1" x14ac:dyDescent="0.25">
      <c r="A156" s="16">
        <v>155</v>
      </c>
      <c r="B156" s="17" t="s">
        <v>1984</v>
      </c>
      <c r="C156" s="44" t="s">
        <v>44</v>
      </c>
      <c r="D156" s="46" t="s">
        <v>1987</v>
      </c>
      <c r="E156" s="49" t="s">
        <v>1991</v>
      </c>
      <c r="F156" s="50"/>
      <c r="G156" s="51" t="s">
        <v>1994</v>
      </c>
      <c r="H156" s="54" t="s">
        <v>1997</v>
      </c>
      <c r="I156" s="54" t="s">
        <v>1999</v>
      </c>
    </row>
    <row r="157" spans="1:9" ht="22.5" customHeight="1" x14ac:dyDescent="0.25">
      <c r="A157" s="42">
        <v>156</v>
      </c>
      <c r="B157" s="17" t="s">
        <v>2004</v>
      </c>
      <c r="C157" s="44" t="s">
        <v>20</v>
      </c>
      <c r="D157" s="46" t="s">
        <v>1901</v>
      </c>
      <c r="E157" s="49" t="s">
        <v>2005</v>
      </c>
      <c r="F157" s="50"/>
      <c r="G157" s="51" t="s">
        <v>2008</v>
      </c>
      <c r="H157" s="54" t="s">
        <v>1911</v>
      </c>
      <c r="I157" s="54" t="s">
        <v>1515</v>
      </c>
    </row>
    <row r="158" spans="1:9" ht="22.5" customHeight="1" x14ac:dyDescent="0.25">
      <c r="A158" s="42">
        <v>157</v>
      </c>
      <c r="B158" s="17" t="s">
        <v>2011</v>
      </c>
      <c r="C158" s="44" t="s">
        <v>20</v>
      </c>
      <c r="D158" s="46" t="s">
        <v>2013</v>
      </c>
      <c r="E158" s="49" t="s">
        <v>2014</v>
      </c>
      <c r="F158" s="50"/>
      <c r="G158" s="51" t="s">
        <v>2016</v>
      </c>
      <c r="H158" s="54"/>
      <c r="I158" s="54"/>
    </row>
    <row r="159" spans="1:9" ht="22.5" customHeight="1" x14ac:dyDescent="0.25">
      <c r="A159" s="42">
        <v>158</v>
      </c>
      <c r="B159" s="17" t="s">
        <v>2020</v>
      </c>
      <c r="C159" s="44" t="s">
        <v>20</v>
      </c>
      <c r="D159" s="46" t="s">
        <v>1333</v>
      </c>
      <c r="E159" s="49" t="s">
        <v>2023</v>
      </c>
      <c r="F159" s="50"/>
      <c r="G159" s="51" t="s">
        <v>2026</v>
      </c>
      <c r="H159" s="54" t="s">
        <v>1339</v>
      </c>
      <c r="I159" s="54" t="s">
        <v>1340</v>
      </c>
    </row>
    <row r="160" spans="1:9" ht="22.5" customHeight="1" x14ac:dyDescent="0.25">
      <c r="A160" s="16">
        <v>159</v>
      </c>
      <c r="B160" s="17" t="s">
        <v>2031</v>
      </c>
      <c r="C160" s="44" t="s">
        <v>20</v>
      </c>
      <c r="D160" s="46" t="s">
        <v>1171</v>
      </c>
      <c r="E160" s="49" t="s">
        <v>2035</v>
      </c>
      <c r="F160" s="50"/>
      <c r="G160" s="94" t="s">
        <v>2037</v>
      </c>
      <c r="H160" s="54" t="s">
        <v>1911</v>
      </c>
      <c r="I160" s="54" t="s">
        <v>1515</v>
      </c>
    </row>
    <row r="161" spans="1:9" ht="22.5" customHeight="1" x14ac:dyDescent="0.25">
      <c r="A161" s="42">
        <v>160</v>
      </c>
      <c r="B161" s="17" t="s">
        <v>2040</v>
      </c>
      <c r="C161" s="44" t="s">
        <v>20</v>
      </c>
      <c r="D161" s="46" t="s">
        <v>2044</v>
      </c>
      <c r="E161" s="49" t="s">
        <v>2046</v>
      </c>
      <c r="F161" s="50"/>
      <c r="G161" s="51" t="s">
        <v>2048</v>
      </c>
      <c r="H161" s="54" t="s">
        <v>94</v>
      </c>
      <c r="I161" s="54" t="s">
        <v>95</v>
      </c>
    </row>
    <row r="162" spans="1:9" ht="22.5" customHeight="1" x14ac:dyDescent="0.25">
      <c r="A162" s="42">
        <v>161</v>
      </c>
      <c r="B162" s="17" t="s">
        <v>2054</v>
      </c>
      <c r="C162" s="44" t="s">
        <v>20</v>
      </c>
      <c r="D162" s="46" t="s">
        <v>2056</v>
      </c>
      <c r="E162" s="49" t="s">
        <v>2058</v>
      </c>
      <c r="F162" s="50"/>
      <c r="G162" s="51" t="s">
        <v>2061</v>
      </c>
      <c r="H162" s="54"/>
      <c r="I162" s="54"/>
    </row>
    <row r="163" spans="1:9" ht="22.5" customHeight="1" x14ac:dyDescent="0.25">
      <c r="A163" s="42">
        <v>162</v>
      </c>
      <c r="B163" s="17" t="s">
        <v>2066</v>
      </c>
      <c r="C163" s="44" t="s">
        <v>20</v>
      </c>
      <c r="D163" s="46" t="s">
        <v>2070</v>
      </c>
      <c r="E163" s="49" t="s">
        <v>2072</v>
      </c>
      <c r="F163" s="50"/>
      <c r="G163" s="51" t="s">
        <v>2075</v>
      </c>
      <c r="H163" s="54" t="s">
        <v>1678</v>
      </c>
      <c r="I163" s="54" t="s">
        <v>1681</v>
      </c>
    </row>
    <row r="164" spans="1:9" ht="22.5" customHeight="1" x14ac:dyDescent="0.25">
      <c r="A164" s="16">
        <v>163</v>
      </c>
      <c r="B164" s="17" t="s">
        <v>2080</v>
      </c>
      <c r="C164" s="44" t="s">
        <v>20</v>
      </c>
      <c r="D164" s="46" t="s">
        <v>2083</v>
      </c>
      <c r="E164" s="49" t="s">
        <v>2086</v>
      </c>
      <c r="F164" s="50"/>
      <c r="G164" s="51" t="s">
        <v>2087</v>
      </c>
      <c r="H164" s="54" t="s">
        <v>2089</v>
      </c>
      <c r="I164" s="54" t="s">
        <v>2091</v>
      </c>
    </row>
    <row r="165" spans="1:9" ht="22.5" customHeight="1" x14ac:dyDescent="0.25">
      <c r="A165" s="42">
        <v>164</v>
      </c>
      <c r="B165" s="17" t="s">
        <v>2096</v>
      </c>
      <c r="C165" s="44" t="s">
        <v>44</v>
      </c>
      <c r="D165" s="46" t="s">
        <v>2098</v>
      </c>
      <c r="E165" s="49" t="s">
        <v>2099</v>
      </c>
      <c r="F165" s="50"/>
      <c r="G165" s="51" t="s">
        <v>2102</v>
      </c>
      <c r="H165" s="28" t="s">
        <v>35</v>
      </c>
      <c r="I165" s="112" t="s">
        <v>37</v>
      </c>
    </row>
    <row r="166" spans="1:9" ht="22.5" customHeight="1" x14ac:dyDescent="0.25">
      <c r="A166" s="42">
        <v>165</v>
      </c>
      <c r="B166" s="17" t="s">
        <v>2111</v>
      </c>
      <c r="C166" s="44" t="s">
        <v>20</v>
      </c>
      <c r="D166" s="46" t="s">
        <v>2113</v>
      </c>
      <c r="E166" s="49" t="s">
        <v>2116</v>
      </c>
      <c r="F166" s="50"/>
      <c r="G166" s="51" t="s">
        <v>2119</v>
      </c>
      <c r="H166" s="54" t="s">
        <v>2089</v>
      </c>
      <c r="I166" s="54" t="s">
        <v>2121</v>
      </c>
    </row>
    <row r="167" spans="1:9" ht="22.5" customHeight="1" x14ac:dyDescent="0.25">
      <c r="A167" s="42">
        <v>166</v>
      </c>
      <c r="B167" s="17" t="s">
        <v>2124</v>
      </c>
      <c r="C167" s="44" t="s">
        <v>20</v>
      </c>
      <c r="D167" s="46" t="s">
        <v>2126</v>
      </c>
      <c r="E167" s="49" t="s">
        <v>2129</v>
      </c>
      <c r="F167" s="50"/>
      <c r="G167" s="51" t="s">
        <v>2132</v>
      </c>
      <c r="H167" s="54" t="s">
        <v>1678</v>
      </c>
      <c r="I167" s="54" t="s">
        <v>1681</v>
      </c>
    </row>
    <row r="168" spans="1:9" ht="22.5" customHeight="1" x14ac:dyDescent="0.25">
      <c r="A168" s="16">
        <v>167</v>
      </c>
      <c r="B168" s="17" t="s">
        <v>2138</v>
      </c>
      <c r="C168" s="44" t="s">
        <v>20</v>
      </c>
      <c r="D168" s="46" t="s">
        <v>2140</v>
      </c>
      <c r="E168" s="49" t="s">
        <v>2144</v>
      </c>
      <c r="F168" s="50"/>
      <c r="G168" s="51" t="s">
        <v>2147</v>
      </c>
      <c r="H168" s="54" t="s">
        <v>2149</v>
      </c>
      <c r="I168" s="54" t="s">
        <v>2150</v>
      </c>
    </row>
    <row r="169" spans="1:9" ht="22.5" customHeight="1" x14ac:dyDescent="0.25">
      <c r="A169" s="42">
        <v>168</v>
      </c>
      <c r="B169" s="17" t="s">
        <v>702</v>
      </c>
      <c r="C169" s="44" t="s">
        <v>20</v>
      </c>
      <c r="D169" s="46" t="s">
        <v>704</v>
      </c>
      <c r="E169" s="49" t="s">
        <v>705</v>
      </c>
      <c r="F169" s="50"/>
      <c r="G169" s="51" t="s">
        <v>708</v>
      </c>
      <c r="H169" s="54" t="s">
        <v>710</v>
      </c>
      <c r="I169" s="54" t="s">
        <v>713</v>
      </c>
    </row>
    <row r="170" spans="1:9" ht="22.5" customHeight="1" x14ac:dyDescent="0.25">
      <c r="A170" s="42">
        <v>169</v>
      </c>
      <c r="B170" s="17" t="s">
        <v>2172</v>
      </c>
      <c r="C170" s="44" t="s">
        <v>20</v>
      </c>
      <c r="D170" s="46" t="s">
        <v>2174</v>
      </c>
      <c r="E170" s="49" t="s">
        <v>2175</v>
      </c>
      <c r="F170" s="50"/>
      <c r="G170" s="51" t="s">
        <v>2179</v>
      </c>
      <c r="H170" s="54"/>
      <c r="I170" s="54"/>
    </row>
    <row r="171" spans="1:9" ht="22.5" customHeight="1" x14ac:dyDescent="0.25">
      <c r="A171" s="42">
        <v>170</v>
      </c>
      <c r="B171" s="17" t="s">
        <v>269</v>
      </c>
      <c r="C171" s="44" t="s">
        <v>44</v>
      </c>
      <c r="D171" s="46" t="s">
        <v>1730</v>
      </c>
      <c r="E171" s="49" t="s">
        <v>287</v>
      </c>
      <c r="F171" s="50"/>
      <c r="G171" s="51" t="s">
        <v>284</v>
      </c>
      <c r="H171" s="54" t="s">
        <v>2196</v>
      </c>
      <c r="I171" s="54" t="s">
        <v>2199</v>
      </c>
    </row>
    <row r="172" spans="1:9" ht="22.5" customHeight="1" x14ac:dyDescent="0.25">
      <c r="A172" s="16">
        <v>171</v>
      </c>
      <c r="B172" s="17" t="s">
        <v>1329</v>
      </c>
      <c r="C172" s="44" t="s">
        <v>20</v>
      </c>
      <c r="D172" s="46" t="s">
        <v>1333</v>
      </c>
      <c r="E172" s="49" t="s">
        <v>1334</v>
      </c>
      <c r="F172" s="50"/>
      <c r="G172" s="51" t="s">
        <v>1336</v>
      </c>
      <c r="H172" s="54" t="s">
        <v>1339</v>
      </c>
      <c r="I172" s="54" t="s">
        <v>1340</v>
      </c>
    </row>
    <row r="173" spans="1:9" ht="22.5" customHeight="1" x14ac:dyDescent="0.25">
      <c r="A173" s="42">
        <v>172</v>
      </c>
      <c r="B173" s="17" t="s">
        <v>2207</v>
      </c>
      <c r="C173" s="44" t="s">
        <v>44</v>
      </c>
      <c r="D173" s="46" t="s">
        <v>2209</v>
      </c>
      <c r="E173" s="49" t="s">
        <v>2210</v>
      </c>
      <c r="F173" s="50"/>
      <c r="G173" s="51" t="s">
        <v>2212</v>
      </c>
      <c r="H173" s="54" t="s">
        <v>2213</v>
      </c>
      <c r="I173" s="54" t="s">
        <v>2215</v>
      </c>
    </row>
    <row r="174" spans="1:9" ht="22.5" customHeight="1" x14ac:dyDescent="0.25">
      <c r="A174" s="42">
        <v>173</v>
      </c>
      <c r="B174" s="17" t="s">
        <v>2218</v>
      </c>
      <c r="C174" s="44" t="s">
        <v>20</v>
      </c>
      <c r="D174" s="46" t="s">
        <v>388</v>
      </c>
      <c r="E174" s="49" t="s">
        <v>2220</v>
      </c>
      <c r="F174" s="50"/>
      <c r="G174" s="51" t="s">
        <v>2222</v>
      </c>
      <c r="H174" s="54" t="s">
        <v>396</v>
      </c>
      <c r="I174" s="54" t="s">
        <v>397</v>
      </c>
    </row>
    <row r="175" spans="1:9" ht="22.5" customHeight="1" x14ac:dyDescent="0.25">
      <c r="A175" s="42">
        <v>174</v>
      </c>
      <c r="B175" s="17" t="s">
        <v>2223</v>
      </c>
      <c r="C175" s="44" t="s">
        <v>44</v>
      </c>
      <c r="D175" s="46" t="s">
        <v>2224</v>
      </c>
      <c r="E175" s="49" t="s">
        <v>2225</v>
      </c>
      <c r="F175" s="50"/>
      <c r="G175" s="51" t="s">
        <v>2227</v>
      </c>
      <c r="H175" s="54" t="s">
        <v>1454</v>
      </c>
      <c r="I175" s="54" t="s">
        <v>1455</v>
      </c>
    </row>
    <row r="176" spans="1:9" ht="22.5" customHeight="1" x14ac:dyDescent="0.25">
      <c r="A176" s="16">
        <v>175</v>
      </c>
      <c r="B176" s="17" t="s">
        <v>1563</v>
      </c>
      <c r="C176" s="44" t="s">
        <v>44</v>
      </c>
      <c r="D176" s="46" t="s">
        <v>2231</v>
      </c>
      <c r="E176" s="49" t="s">
        <v>1376</v>
      </c>
      <c r="F176" s="50"/>
      <c r="G176" s="51" t="s">
        <v>2236</v>
      </c>
      <c r="H176" s="54"/>
      <c r="I176" s="54"/>
    </row>
    <row r="177" spans="1:9" ht="22.5" customHeight="1" x14ac:dyDescent="0.25">
      <c r="A177" s="42">
        <v>176</v>
      </c>
      <c r="B177" s="17" t="s">
        <v>2238</v>
      </c>
      <c r="C177" s="44" t="s">
        <v>44</v>
      </c>
      <c r="D177" s="46" t="s">
        <v>27</v>
      </c>
      <c r="E177" s="49" t="s">
        <v>2240</v>
      </c>
      <c r="F177" s="50"/>
      <c r="G177" s="51" t="s">
        <v>2241</v>
      </c>
      <c r="H177" s="28" t="s">
        <v>35</v>
      </c>
      <c r="I177" s="112" t="s">
        <v>37</v>
      </c>
    </row>
    <row r="178" spans="1:9" ht="22.5" customHeight="1" x14ac:dyDescent="0.25">
      <c r="A178" s="42">
        <v>177</v>
      </c>
      <c r="B178" s="17" t="s">
        <v>2246</v>
      </c>
      <c r="C178" s="44" t="s">
        <v>20</v>
      </c>
      <c r="D178" s="46" t="s">
        <v>27</v>
      </c>
      <c r="E178" s="49" t="s">
        <v>2247</v>
      </c>
      <c r="F178" s="50"/>
      <c r="G178" s="51" t="s">
        <v>2249</v>
      </c>
      <c r="H178" s="28" t="s">
        <v>35</v>
      </c>
      <c r="I178" s="112" t="s">
        <v>37</v>
      </c>
    </row>
    <row r="179" spans="1:9" ht="22.5" customHeight="1" x14ac:dyDescent="0.25">
      <c r="A179" s="42">
        <v>178</v>
      </c>
      <c r="B179" s="17" t="s">
        <v>2254</v>
      </c>
      <c r="C179" s="44" t="s">
        <v>20</v>
      </c>
      <c r="D179" s="46" t="s">
        <v>2255</v>
      </c>
      <c r="E179" s="49" t="s">
        <v>2257</v>
      </c>
      <c r="F179" s="50"/>
      <c r="G179" s="51" t="s">
        <v>2260</v>
      </c>
      <c r="H179" s="54" t="s">
        <v>2089</v>
      </c>
      <c r="I179" s="54" t="s">
        <v>2091</v>
      </c>
    </row>
    <row r="180" spans="1:9" ht="22.5" customHeight="1" x14ac:dyDescent="0.25">
      <c r="A180" s="16">
        <v>179</v>
      </c>
      <c r="B180" s="17" t="s">
        <v>2264</v>
      </c>
      <c r="C180" s="44" t="s">
        <v>20</v>
      </c>
      <c r="D180" s="46" t="s">
        <v>2265</v>
      </c>
      <c r="E180" s="49" t="s">
        <v>2266</v>
      </c>
      <c r="F180" s="50"/>
      <c r="G180" s="177"/>
      <c r="H180" s="54" t="s">
        <v>2268</v>
      </c>
      <c r="I180" s="54" t="s">
        <v>2270</v>
      </c>
    </row>
    <row r="181" spans="1:9" ht="22.5" customHeight="1" x14ac:dyDescent="0.25">
      <c r="A181" s="42">
        <v>180</v>
      </c>
      <c r="B181" s="17" t="s">
        <v>2272</v>
      </c>
      <c r="C181" s="44" t="s">
        <v>20</v>
      </c>
      <c r="D181" s="46" t="s">
        <v>1074</v>
      </c>
      <c r="E181" s="49" t="s">
        <v>2274</v>
      </c>
      <c r="F181" s="50"/>
      <c r="G181" s="51" t="s">
        <v>2278</v>
      </c>
      <c r="H181" s="54" t="s">
        <v>2279</v>
      </c>
      <c r="I181" s="54" t="s">
        <v>2280</v>
      </c>
    </row>
    <row r="182" spans="1:9" ht="22.5" customHeight="1" x14ac:dyDescent="0.25">
      <c r="A182" s="16">
        <v>181</v>
      </c>
      <c r="B182" s="17" t="s">
        <v>2285</v>
      </c>
      <c r="C182" s="44" t="s">
        <v>44</v>
      </c>
      <c r="D182" s="46" t="s">
        <v>2288</v>
      </c>
      <c r="E182" s="49" t="s">
        <v>991</v>
      </c>
      <c r="F182" s="50"/>
      <c r="G182" s="51" t="s">
        <v>992</v>
      </c>
      <c r="H182" s="54" t="s">
        <v>1488</v>
      </c>
      <c r="I182" s="54" t="s">
        <v>1490</v>
      </c>
    </row>
    <row r="183" spans="1:9" ht="22.5" customHeight="1" x14ac:dyDescent="0.25">
      <c r="A183" s="42">
        <v>182</v>
      </c>
      <c r="B183" s="17" t="s">
        <v>2295</v>
      </c>
      <c r="C183" s="44" t="s">
        <v>20</v>
      </c>
      <c r="D183" s="46" t="s">
        <v>2296</v>
      </c>
      <c r="E183" s="49" t="s">
        <v>2298</v>
      </c>
      <c r="F183" s="50"/>
      <c r="G183" s="177"/>
      <c r="H183" s="54" t="s">
        <v>2301</v>
      </c>
      <c r="I183" s="54" t="s">
        <v>2303</v>
      </c>
    </row>
    <row r="184" spans="1:9" ht="22.5" customHeight="1" x14ac:dyDescent="0.25">
      <c r="A184" s="42">
        <v>183</v>
      </c>
      <c r="B184" s="17" t="s">
        <v>2306</v>
      </c>
      <c r="C184" s="44" t="s">
        <v>20</v>
      </c>
      <c r="D184" s="46" t="s">
        <v>2308</v>
      </c>
      <c r="E184" s="49" t="s">
        <v>2310</v>
      </c>
      <c r="F184" s="50"/>
      <c r="G184" s="51" t="s">
        <v>2312</v>
      </c>
      <c r="H184" s="54" t="s">
        <v>2314</v>
      </c>
      <c r="I184" s="54" t="s">
        <v>2317</v>
      </c>
    </row>
    <row r="185" spans="1:9" ht="22.5" customHeight="1" x14ac:dyDescent="0.25">
      <c r="A185" s="42">
        <v>184</v>
      </c>
      <c r="B185" s="17" t="s">
        <v>2319</v>
      </c>
      <c r="C185" s="44" t="s">
        <v>44</v>
      </c>
      <c r="D185" s="46" t="s">
        <v>2321</v>
      </c>
      <c r="E185" s="49" t="s">
        <v>2323</v>
      </c>
      <c r="F185" s="50"/>
      <c r="G185" s="177"/>
      <c r="H185" s="54" t="s">
        <v>2327</v>
      </c>
      <c r="I185" s="54" t="s">
        <v>2328</v>
      </c>
    </row>
    <row r="186" spans="1:9" ht="22.5" customHeight="1" x14ac:dyDescent="0.25">
      <c r="A186" s="16">
        <v>185</v>
      </c>
      <c r="B186" s="17" t="s">
        <v>2330</v>
      </c>
      <c r="C186" s="44" t="s">
        <v>44</v>
      </c>
      <c r="D186" s="46" t="s">
        <v>2331</v>
      </c>
      <c r="E186" s="49" t="s">
        <v>2333</v>
      </c>
      <c r="F186" s="50"/>
      <c r="G186" s="177"/>
      <c r="H186" s="54"/>
      <c r="I186" s="54"/>
    </row>
    <row r="187" spans="1:9" ht="22.5" customHeight="1" x14ac:dyDescent="0.25">
      <c r="A187" s="42">
        <v>186</v>
      </c>
      <c r="B187" s="17" t="s">
        <v>2337</v>
      </c>
      <c r="C187" s="44" t="s">
        <v>20</v>
      </c>
      <c r="D187" s="46" t="s">
        <v>2338</v>
      </c>
      <c r="E187" s="49" t="s">
        <v>2339</v>
      </c>
      <c r="F187" s="50"/>
      <c r="G187" s="177"/>
      <c r="H187" s="54" t="s">
        <v>2342</v>
      </c>
      <c r="I187" s="54" t="s">
        <v>2344</v>
      </c>
    </row>
    <row r="188" spans="1:9" ht="22.5" customHeight="1" x14ac:dyDescent="0.25">
      <c r="A188" s="42">
        <v>187</v>
      </c>
      <c r="B188" s="17" t="s">
        <v>2348</v>
      </c>
      <c r="C188" s="44" t="s">
        <v>44</v>
      </c>
      <c r="D188" s="46" t="s">
        <v>2349</v>
      </c>
      <c r="E188" s="49" t="s">
        <v>2351</v>
      </c>
      <c r="F188" s="50"/>
      <c r="G188" s="177"/>
      <c r="H188" s="54" t="s">
        <v>2353</v>
      </c>
      <c r="I188" s="54" t="s">
        <v>2354</v>
      </c>
    </row>
    <row r="189" spans="1:9" ht="22.5" customHeight="1" x14ac:dyDescent="0.25">
      <c r="A189" s="42">
        <v>188</v>
      </c>
      <c r="B189" s="17" t="s">
        <v>2358</v>
      </c>
      <c r="C189" s="44" t="s">
        <v>20</v>
      </c>
      <c r="D189" s="46" t="s">
        <v>1557</v>
      </c>
      <c r="E189" s="49" t="s">
        <v>2360</v>
      </c>
      <c r="F189" s="50"/>
      <c r="G189" s="177"/>
      <c r="H189" s="54" t="s">
        <v>2362</v>
      </c>
      <c r="I189" s="54" t="s">
        <v>2365</v>
      </c>
    </row>
    <row r="190" spans="1:9" ht="22.5" customHeight="1" x14ac:dyDescent="0.25">
      <c r="A190" s="16">
        <v>189</v>
      </c>
      <c r="B190" s="17" t="s">
        <v>2367</v>
      </c>
      <c r="C190" s="44" t="s">
        <v>44</v>
      </c>
      <c r="D190" s="46" t="s">
        <v>2370</v>
      </c>
      <c r="E190" s="49" t="s">
        <v>2372</v>
      </c>
      <c r="F190" s="50"/>
      <c r="G190" s="177"/>
      <c r="H190" s="54" t="s">
        <v>2375</v>
      </c>
      <c r="I190" s="54" t="s">
        <v>2376</v>
      </c>
    </row>
    <row r="191" spans="1:9" ht="22.5" customHeight="1" x14ac:dyDescent="0.25">
      <c r="A191" s="42">
        <v>190</v>
      </c>
      <c r="B191" s="17" t="s">
        <v>2381</v>
      </c>
      <c r="C191" s="44" t="s">
        <v>44</v>
      </c>
      <c r="D191" s="46" t="s">
        <v>2382</v>
      </c>
      <c r="E191" s="49" t="s">
        <v>2384</v>
      </c>
      <c r="F191" s="50"/>
      <c r="G191" s="177"/>
      <c r="H191" s="54" t="s">
        <v>2386</v>
      </c>
      <c r="I191" s="54" t="s">
        <v>2388</v>
      </c>
    </row>
    <row r="192" spans="1:9" ht="22.5" customHeight="1" x14ac:dyDescent="0.25">
      <c r="A192" s="42">
        <v>191</v>
      </c>
      <c r="B192" s="17" t="s">
        <v>2390</v>
      </c>
      <c r="C192" s="44" t="s">
        <v>20</v>
      </c>
      <c r="D192" s="46" t="s">
        <v>27</v>
      </c>
      <c r="E192" s="49" t="s">
        <v>2393</v>
      </c>
      <c r="F192" s="50"/>
      <c r="G192" s="177"/>
      <c r="H192" s="28" t="s">
        <v>35</v>
      </c>
      <c r="I192" s="112" t="s">
        <v>37</v>
      </c>
    </row>
    <row r="193" spans="1:9" ht="22.5" customHeight="1" x14ac:dyDescent="0.25">
      <c r="A193" s="42">
        <v>192</v>
      </c>
      <c r="B193" s="17" t="s">
        <v>2399</v>
      </c>
      <c r="C193" s="44" t="s">
        <v>20</v>
      </c>
      <c r="D193" s="46" t="s">
        <v>2401</v>
      </c>
      <c r="E193" s="49" t="s">
        <v>2300</v>
      </c>
      <c r="F193" s="50"/>
      <c r="G193" s="177"/>
      <c r="H193" s="54" t="s">
        <v>2404</v>
      </c>
      <c r="I193" s="54" t="s">
        <v>2405</v>
      </c>
    </row>
    <row r="194" spans="1:9" ht="22.5" customHeight="1" x14ac:dyDescent="0.25">
      <c r="A194" s="16">
        <v>193</v>
      </c>
      <c r="B194" s="17" t="s">
        <v>2406</v>
      </c>
      <c r="C194" s="44" t="s">
        <v>20</v>
      </c>
      <c r="D194" s="46" t="s">
        <v>2408</v>
      </c>
      <c r="E194" s="49" t="s">
        <v>2409</v>
      </c>
      <c r="F194" s="50"/>
      <c r="G194" s="177"/>
      <c r="H194" s="54" t="s">
        <v>2410</v>
      </c>
      <c r="I194" s="54" t="s">
        <v>2411</v>
      </c>
    </row>
    <row r="195" spans="1:9" ht="22.5" customHeight="1" x14ac:dyDescent="0.25">
      <c r="A195" s="42">
        <v>194</v>
      </c>
      <c r="B195" s="90" t="s">
        <v>2413</v>
      </c>
      <c r="C195" s="44" t="s">
        <v>20</v>
      </c>
      <c r="D195" s="46" t="s">
        <v>1111</v>
      </c>
      <c r="E195" s="49" t="s">
        <v>2418</v>
      </c>
      <c r="F195" s="50"/>
      <c r="G195" s="177"/>
      <c r="H195" s="54" t="s">
        <v>2419</v>
      </c>
      <c r="I195" s="54" t="s">
        <v>2420</v>
      </c>
    </row>
    <row r="196" spans="1:9" ht="22.5" customHeight="1" x14ac:dyDescent="0.25">
      <c r="A196" s="42">
        <v>195</v>
      </c>
      <c r="B196" s="17" t="s">
        <v>2421</v>
      </c>
      <c r="C196" s="44" t="s">
        <v>20</v>
      </c>
      <c r="D196" s="46" t="s">
        <v>1438</v>
      </c>
      <c r="E196" s="49" t="s">
        <v>2423</v>
      </c>
      <c r="F196" s="50"/>
      <c r="G196" s="51" t="s">
        <v>2424</v>
      </c>
      <c r="H196" s="54" t="s">
        <v>94</v>
      </c>
      <c r="I196" s="54" t="s">
        <v>95</v>
      </c>
    </row>
    <row r="197" spans="1:9" ht="22.5" customHeight="1" x14ac:dyDescent="0.25">
      <c r="A197" s="42">
        <v>196</v>
      </c>
      <c r="B197" s="17" t="s">
        <v>2427</v>
      </c>
      <c r="C197" s="44" t="s">
        <v>20</v>
      </c>
      <c r="D197" s="46" t="s">
        <v>50</v>
      </c>
      <c r="E197" s="49" t="s">
        <v>2428</v>
      </c>
      <c r="F197" s="50"/>
      <c r="G197" s="51" t="s">
        <v>2430</v>
      </c>
      <c r="H197" s="54" t="s">
        <v>58</v>
      </c>
      <c r="I197" s="54" t="s">
        <v>61</v>
      </c>
    </row>
    <row r="198" spans="1:9" ht="22.5" customHeight="1" x14ac:dyDescent="0.25">
      <c r="A198" s="16">
        <v>197</v>
      </c>
      <c r="B198" s="17" t="s">
        <v>2432</v>
      </c>
      <c r="C198" s="44" t="s">
        <v>20</v>
      </c>
      <c r="D198" s="46" t="s">
        <v>1088</v>
      </c>
      <c r="E198" s="49" t="s">
        <v>2433</v>
      </c>
      <c r="F198" s="50"/>
      <c r="G198" s="177"/>
      <c r="H198" s="54" t="s">
        <v>617</v>
      </c>
      <c r="I198" s="54" t="s">
        <v>619</v>
      </c>
    </row>
    <row r="199" spans="1:9" ht="22.5" customHeight="1" x14ac:dyDescent="0.25">
      <c r="A199" s="42">
        <v>198</v>
      </c>
      <c r="B199" s="17" t="s">
        <v>2438</v>
      </c>
      <c r="C199" s="44" t="s">
        <v>20</v>
      </c>
      <c r="D199" s="17" t="s">
        <v>2440</v>
      </c>
      <c r="E199" s="17" t="s">
        <v>2442</v>
      </c>
      <c r="F199" s="143"/>
      <c r="G199" s="177"/>
      <c r="H199" s="144" t="s">
        <v>2443</v>
      </c>
      <c r="I199" s="54" t="s">
        <v>2444</v>
      </c>
    </row>
    <row r="200" spans="1:9" ht="22.5" customHeight="1" x14ac:dyDescent="0.25">
      <c r="A200" s="42">
        <v>199</v>
      </c>
      <c r="B200" s="90" t="s">
        <v>2450</v>
      </c>
      <c r="C200" s="44" t="s">
        <v>20</v>
      </c>
      <c r="D200" s="46" t="s">
        <v>2451</v>
      </c>
      <c r="E200" s="49" t="s">
        <v>1933</v>
      </c>
      <c r="F200" s="50"/>
      <c r="G200" s="177"/>
      <c r="H200" s="54" t="s">
        <v>2452</v>
      </c>
      <c r="I200" s="54" t="s">
        <v>2453</v>
      </c>
    </row>
    <row r="201" spans="1:9" ht="22.5" customHeight="1" x14ac:dyDescent="0.25">
      <c r="A201" s="42">
        <v>200</v>
      </c>
      <c r="B201" s="46" t="s">
        <v>2456</v>
      </c>
      <c r="C201" s="44" t="s">
        <v>44</v>
      </c>
      <c r="D201" s="64" t="s">
        <v>951</v>
      </c>
      <c r="E201" s="46" t="s">
        <v>2460</v>
      </c>
      <c r="F201" s="49"/>
      <c r="G201" s="85" t="s">
        <v>2461</v>
      </c>
      <c r="H201" s="54" t="s">
        <v>979</v>
      </c>
      <c r="I201" s="54" t="s">
        <v>980</v>
      </c>
    </row>
    <row r="202" spans="1:9" ht="15.75" customHeight="1" x14ac:dyDescent="0.25">
      <c r="A202" s="114"/>
    </row>
    <row r="203" spans="1:9" ht="15.75" customHeight="1" x14ac:dyDescent="0.25">
      <c r="A203" s="114"/>
    </row>
    <row r="204" spans="1:9" ht="15.75" customHeight="1" x14ac:dyDescent="0.25">
      <c r="A204" s="114"/>
    </row>
    <row r="205" spans="1:9" ht="15.75" customHeight="1" x14ac:dyDescent="0.25">
      <c r="A205" s="114"/>
    </row>
    <row r="206" spans="1:9" ht="15.75" customHeight="1" x14ac:dyDescent="0.25">
      <c r="A206" s="114"/>
    </row>
    <row r="207" spans="1:9" ht="15.75" customHeight="1" x14ac:dyDescent="0.25">
      <c r="A207" s="114"/>
    </row>
    <row r="208" spans="1:9" ht="15.75" customHeight="1" x14ac:dyDescent="0.25">
      <c r="A208" s="114"/>
    </row>
    <row r="209" spans="1:1" ht="15.75" customHeight="1" x14ac:dyDescent="0.25">
      <c r="A209" s="114"/>
    </row>
    <row r="210" spans="1:1" ht="15.75" customHeight="1" x14ac:dyDescent="0.25">
      <c r="A210" s="114"/>
    </row>
    <row r="211" spans="1:1" ht="15.75" customHeight="1" x14ac:dyDescent="0.25">
      <c r="A211" s="114"/>
    </row>
    <row r="212" spans="1:1" ht="15.75" customHeight="1" x14ac:dyDescent="0.25">
      <c r="A212" s="114"/>
    </row>
    <row r="213" spans="1:1" ht="15.75" customHeight="1" x14ac:dyDescent="0.25">
      <c r="A213" s="114"/>
    </row>
    <row r="214" spans="1:1" ht="15.75" customHeight="1" x14ac:dyDescent="0.25">
      <c r="A214" s="114"/>
    </row>
    <row r="215" spans="1:1" ht="15.75" customHeight="1" x14ac:dyDescent="0.25">
      <c r="A215" s="114"/>
    </row>
    <row r="216" spans="1:1" ht="15.75" customHeight="1" x14ac:dyDescent="0.25">
      <c r="A216" s="114"/>
    </row>
    <row r="217" spans="1:1" ht="15.75" customHeight="1" x14ac:dyDescent="0.25">
      <c r="A217" s="114"/>
    </row>
    <row r="218" spans="1:1" ht="15.75" customHeight="1" x14ac:dyDescent="0.25">
      <c r="A218" s="114"/>
    </row>
    <row r="219" spans="1:1" ht="15.75" customHeight="1" x14ac:dyDescent="0.25">
      <c r="A219" s="114"/>
    </row>
    <row r="220" spans="1:1" ht="15.75" customHeight="1" x14ac:dyDescent="0.25">
      <c r="A220" s="114"/>
    </row>
    <row r="221" spans="1:1" ht="15.75" customHeight="1" x14ac:dyDescent="0.25">
      <c r="A221" s="114"/>
    </row>
    <row r="222" spans="1:1" ht="15.75" customHeight="1" x14ac:dyDescent="0.25">
      <c r="A222" s="114"/>
    </row>
    <row r="223" spans="1:1" ht="15.75" customHeight="1" x14ac:dyDescent="0.25">
      <c r="A223" s="114"/>
    </row>
    <row r="224" spans="1:1" ht="15.75" customHeight="1" x14ac:dyDescent="0.25">
      <c r="A224" s="114"/>
    </row>
    <row r="225" spans="1:1" ht="15.75" customHeight="1" x14ac:dyDescent="0.25">
      <c r="A225" s="114"/>
    </row>
    <row r="226" spans="1:1" ht="15.75" customHeight="1" x14ac:dyDescent="0.25">
      <c r="A226" s="114"/>
    </row>
    <row r="227" spans="1:1" ht="15.75" customHeight="1" x14ac:dyDescent="0.25">
      <c r="A227" s="114"/>
    </row>
    <row r="228" spans="1:1" ht="15.75" customHeight="1" x14ac:dyDescent="0.25">
      <c r="A228" s="114"/>
    </row>
    <row r="229" spans="1:1" ht="15.75" customHeight="1" x14ac:dyDescent="0.25">
      <c r="A229" s="114"/>
    </row>
    <row r="230" spans="1:1" ht="15.75" customHeight="1" x14ac:dyDescent="0.25">
      <c r="A230" s="114"/>
    </row>
    <row r="231" spans="1:1" ht="15.75" customHeight="1" x14ac:dyDescent="0.25">
      <c r="A231" s="114"/>
    </row>
    <row r="232" spans="1:1" ht="15.75" customHeight="1" x14ac:dyDescent="0.25">
      <c r="A232" s="114"/>
    </row>
    <row r="233" spans="1:1" ht="15.75" customHeight="1" x14ac:dyDescent="0.25">
      <c r="A233" s="114"/>
    </row>
    <row r="234" spans="1:1" ht="15.75" customHeight="1" x14ac:dyDescent="0.25">
      <c r="A234" s="114"/>
    </row>
    <row r="235" spans="1:1" ht="15.75" customHeight="1" x14ac:dyDescent="0.25">
      <c r="A235" s="114"/>
    </row>
    <row r="236" spans="1:1" ht="15.75" customHeight="1" x14ac:dyDescent="0.25">
      <c r="A236" s="114"/>
    </row>
    <row r="237" spans="1:1" ht="15.75" customHeight="1" x14ac:dyDescent="0.25">
      <c r="A237" s="114"/>
    </row>
    <row r="238" spans="1:1" ht="15.75" customHeight="1" x14ac:dyDescent="0.25">
      <c r="A238" s="114"/>
    </row>
    <row r="239" spans="1:1" ht="15.75" customHeight="1" x14ac:dyDescent="0.25">
      <c r="A239" s="114"/>
    </row>
    <row r="240" spans="1:1" ht="15.75" customHeight="1" x14ac:dyDescent="0.25">
      <c r="A240" s="114"/>
    </row>
    <row r="241" spans="1:1" ht="15.75" customHeight="1" x14ac:dyDescent="0.25">
      <c r="A241" s="114"/>
    </row>
    <row r="242" spans="1:1" ht="15.75" customHeight="1" x14ac:dyDescent="0.25">
      <c r="A242" s="114"/>
    </row>
    <row r="243" spans="1:1" ht="15.75" customHeight="1" x14ac:dyDescent="0.25">
      <c r="A243" s="114"/>
    </row>
    <row r="244" spans="1:1" ht="15.75" customHeight="1" x14ac:dyDescent="0.25">
      <c r="A244" s="114"/>
    </row>
    <row r="245" spans="1:1" ht="15.75" customHeight="1" x14ac:dyDescent="0.25">
      <c r="A245" s="114"/>
    </row>
    <row r="246" spans="1:1" ht="15.75" customHeight="1" x14ac:dyDescent="0.25">
      <c r="A246" s="114"/>
    </row>
    <row r="247" spans="1:1" ht="15.75" customHeight="1" x14ac:dyDescent="0.25">
      <c r="A247" s="114"/>
    </row>
    <row r="248" spans="1:1" ht="15.75" customHeight="1" x14ac:dyDescent="0.25">
      <c r="A248" s="114"/>
    </row>
    <row r="249" spans="1:1" ht="15.75" customHeight="1" x14ac:dyDescent="0.25">
      <c r="A249" s="114"/>
    </row>
    <row r="250" spans="1:1" ht="15.75" customHeight="1" x14ac:dyDescent="0.25">
      <c r="A250" s="114"/>
    </row>
    <row r="251" spans="1:1" ht="15.75" customHeight="1" x14ac:dyDescent="0.25">
      <c r="A251" s="114"/>
    </row>
    <row r="252" spans="1:1" ht="15.75" customHeight="1" x14ac:dyDescent="0.25">
      <c r="A252" s="114"/>
    </row>
    <row r="253" spans="1:1" ht="15.75" customHeight="1" x14ac:dyDescent="0.25">
      <c r="A253" s="114"/>
    </row>
    <row r="254" spans="1:1" ht="15.75" customHeight="1" x14ac:dyDescent="0.25">
      <c r="A254" s="114"/>
    </row>
    <row r="255" spans="1:1" ht="15.75" customHeight="1" x14ac:dyDescent="0.25">
      <c r="A255" s="114"/>
    </row>
    <row r="256" spans="1:1" ht="15.75" customHeight="1" x14ac:dyDescent="0.25">
      <c r="A256" s="114"/>
    </row>
    <row r="257" spans="1:1" ht="15.75" customHeight="1" x14ac:dyDescent="0.25">
      <c r="A257" s="114"/>
    </row>
    <row r="258" spans="1:1" ht="15.75" customHeight="1" x14ac:dyDescent="0.25">
      <c r="A258" s="114"/>
    </row>
    <row r="259" spans="1:1" ht="15.75" customHeight="1" x14ac:dyDescent="0.25">
      <c r="A259" s="114"/>
    </row>
    <row r="260" spans="1:1" ht="15.75" customHeight="1" x14ac:dyDescent="0.25">
      <c r="A260" s="114"/>
    </row>
    <row r="261" spans="1:1" ht="15.75" customHeight="1" x14ac:dyDescent="0.25">
      <c r="A261" s="114"/>
    </row>
    <row r="262" spans="1:1" ht="15.75" customHeight="1" x14ac:dyDescent="0.25">
      <c r="A262" s="114"/>
    </row>
    <row r="263" spans="1:1" ht="15.75" customHeight="1" x14ac:dyDescent="0.25">
      <c r="A263" s="114"/>
    </row>
    <row r="264" spans="1:1" ht="15.75" customHeight="1" x14ac:dyDescent="0.25">
      <c r="A264" s="114"/>
    </row>
    <row r="265" spans="1:1" ht="15.75" customHeight="1" x14ac:dyDescent="0.25">
      <c r="A265" s="114"/>
    </row>
    <row r="266" spans="1:1" ht="15.75" customHeight="1" x14ac:dyDescent="0.25">
      <c r="A266" s="114"/>
    </row>
    <row r="267" spans="1:1" ht="15.75" customHeight="1" x14ac:dyDescent="0.25">
      <c r="A267" s="114"/>
    </row>
    <row r="268" spans="1:1" ht="15.75" customHeight="1" x14ac:dyDescent="0.25">
      <c r="A268" s="114"/>
    </row>
    <row r="269" spans="1:1" ht="15.75" customHeight="1" x14ac:dyDescent="0.25">
      <c r="A269" s="114"/>
    </row>
    <row r="270" spans="1:1" ht="15.75" customHeight="1" x14ac:dyDescent="0.25">
      <c r="A270" s="114"/>
    </row>
    <row r="271" spans="1:1" ht="15.75" customHeight="1" x14ac:dyDescent="0.25">
      <c r="A271" s="114"/>
    </row>
    <row r="272" spans="1:1" ht="15.75" customHeight="1" x14ac:dyDescent="0.25">
      <c r="A272" s="114"/>
    </row>
    <row r="273" spans="1:1" ht="15.75" customHeight="1" x14ac:dyDescent="0.25">
      <c r="A273" s="114"/>
    </row>
    <row r="274" spans="1:1" ht="15.75" customHeight="1" x14ac:dyDescent="0.25">
      <c r="A274" s="114"/>
    </row>
    <row r="275" spans="1:1" ht="15.75" customHeight="1" x14ac:dyDescent="0.25">
      <c r="A275" s="114"/>
    </row>
    <row r="276" spans="1:1" ht="15.75" customHeight="1" x14ac:dyDescent="0.25">
      <c r="A276" s="114"/>
    </row>
    <row r="277" spans="1:1" ht="15.75" customHeight="1" x14ac:dyDescent="0.25">
      <c r="A277" s="114"/>
    </row>
    <row r="278" spans="1:1" ht="15.75" customHeight="1" x14ac:dyDescent="0.25">
      <c r="A278" s="114"/>
    </row>
    <row r="279" spans="1:1" ht="15.75" customHeight="1" x14ac:dyDescent="0.25">
      <c r="A279" s="114"/>
    </row>
    <row r="280" spans="1:1" ht="15.75" customHeight="1" x14ac:dyDescent="0.25">
      <c r="A280" s="114"/>
    </row>
    <row r="281" spans="1:1" ht="15.75" customHeight="1" x14ac:dyDescent="0.25">
      <c r="A281" s="114"/>
    </row>
    <row r="282" spans="1:1" ht="15.75" customHeight="1" x14ac:dyDescent="0.25">
      <c r="A282" s="114"/>
    </row>
    <row r="283" spans="1:1" ht="15.75" customHeight="1" x14ac:dyDescent="0.25">
      <c r="A283" s="114"/>
    </row>
    <row r="284" spans="1:1" ht="15.75" customHeight="1" x14ac:dyDescent="0.25">
      <c r="A284" s="114"/>
    </row>
    <row r="285" spans="1:1" ht="15.75" customHeight="1" x14ac:dyDescent="0.25">
      <c r="A285" s="114"/>
    </row>
    <row r="286" spans="1:1" ht="15.75" customHeight="1" x14ac:dyDescent="0.25">
      <c r="A286" s="114"/>
    </row>
    <row r="287" spans="1:1" ht="15.75" customHeight="1" x14ac:dyDescent="0.25">
      <c r="A287" s="114"/>
    </row>
    <row r="288" spans="1:1" ht="15.75" customHeight="1" x14ac:dyDescent="0.25">
      <c r="A288" s="114"/>
    </row>
    <row r="289" spans="1:1" ht="15.75" customHeight="1" x14ac:dyDescent="0.25">
      <c r="A289" s="114"/>
    </row>
    <row r="290" spans="1:1" ht="15.75" customHeight="1" x14ac:dyDescent="0.25">
      <c r="A290" s="114"/>
    </row>
    <row r="291" spans="1:1" ht="15.75" customHeight="1" x14ac:dyDescent="0.25">
      <c r="A291" s="114"/>
    </row>
    <row r="292" spans="1:1" ht="15.75" customHeight="1" x14ac:dyDescent="0.25">
      <c r="A292" s="114"/>
    </row>
    <row r="293" spans="1:1" ht="15.75" customHeight="1" x14ac:dyDescent="0.25">
      <c r="A293" s="114"/>
    </row>
    <row r="294" spans="1:1" ht="15.75" customHeight="1" x14ac:dyDescent="0.25">
      <c r="A294" s="114"/>
    </row>
    <row r="295" spans="1:1" ht="15.75" customHeight="1" x14ac:dyDescent="0.25">
      <c r="A295" s="114"/>
    </row>
    <row r="296" spans="1:1" ht="15.75" customHeight="1" x14ac:dyDescent="0.25">
      <c r="A296" s="114"/>
    </row>
    <row r="297" spans="1:1" ht="15.75" customHeight="1" x14ac:dyDescent="0.25">
      <c r="A297" s="114"/>
    </row>
    <row r="298" spans="1:1" ht="15.75" customHeight="1" x14ac:dyDescent="0.25">
      <c r="A298" s="114"/>
    </row>
    <row r="299" spans="1:1" ht="15.75" customHeight="1" x14ac:dyDescent="0.25">
      <c r="A299" s="114"/>
    </row>
    <row r="300" spans="1:1" ht="15.75" customHeight="1" x14ac:dyDescent="0.25">
      <c r="A300" s="114"/>
    </row>
    <row r="301" spans="1:1" ht="15.75" customHeight="1" x14ac:dyDescent="0.25">
      <c r="A301" s="114"/>
    </row>
    <row r="302" spans="1:1" ht="15.75" customHeight="1" x14ac:dyDescent="0.25">
      <c r="A302" s="114"/>
    </row>
    <row r="303" spans="1:1" ht="15.75" customHeight="1" x14ac:dyDescent="0.25">
      <c r="A303" s="114"/>
    </row>
    <row r="304" spans="1:1" ht="15.75" customHeight="1" x14ac:dyDescent="0.25">
      <c r="A304" s="114"/>
    </row>
    <row r="305" spans="1:1" ht="15.75" customHeight="1" x14ac:dyDescent="0.25">
      <c r="A305" s="114"/>
    </row>
    <row r="306" spans="1:1" ht="15.75" customHeight="1" x14ac:dyDescent="0.25">
      <c r="A306" s="114"/>
    </row>
    <row r="307" spans="1:1" ht="15.75" customHeight="1" x14ac:dyDescent="0.25">
      <c r="A307" s="114"/>
    </row>
    <row r="308" spans="1:1" ht="15.75" customHeight="1" x14ac:dyDescent="0.25">
      <c r="A308" s="114"/>
    </row>
    <row r="309" spans="1:1" ht="15.75" customHeight="1" x14ac:dyDescent="0.25">
      <c r="A309" s="114"/>
    </row>
    <row r="310" spans="1:1" ht="15.75" customHeight="1" x14ac:dyDescent="0.25">
      <c r="A310" s="114"/>
    </row>
    <row r="311" spans="1:1" ht="15.75" customHeight="1" x14ac:dyDescent="0.25">
      <c r="A311" s="114"/>
    </row>
    <row r="312" spans="1:1" ht="15.75" customHeight="1" x14ac:dyDescent="0.25">
      <c r="A312" s="114"/>
    </row>
    <row r="313" spans="1:1" ht="15.75" customHeight="1" x14ac:dyDescent="0.25">
      <c r="A313" s="114"/>
    </row>
    <row r="314" spans="1:1" ht="15.75" customHeight="1" x14ac:dyDescent="0.25">
      <c r="A314" s="114"/>
    </row>
    <row r="315" spans="1:1" ht="15.75" customHeight="1" x14ac:dyDescent="0.25">
      <c r="A315" s="114"/>
    </row>
    <row r="316" spans="1:1" ht="15.75" customHeight="1" x14ac:dyDescent="0.25">
      <c r="A316" s="114"/>
    </row>
    <row r="317" spans="1:1" ht="15.75" customHeight="1" x14ac:dyDescent="0.25">
      <c r="A317" s="114"/>
    </row>
    <row r="318" spans="1:1" ht="15.75" customHeight="1" x14ac:dyDescent="0.25">
      <c r="A318" s="114"/>
    </row>
    <row r="319" spans="1:1" ht="15.75" customHeight="1" x14ac:dyDescent="0.25">
      <c r="A319" s="114"/>
    </row>
    <row r="320" spans="1:1" ht="15.75" customHeight="1" x14ac:dyDescent="0.25">
      <c r="A320" s="114"/>
    </row>
    <row r="321" spans="1:1" ht="15.75" customHeight="1" x14ac:dyDescent="0.25">
      <c r="A321" s="114"/>
    </row>
    <row r="322" spans="1:1" ht="15.75" customHeight="1" x14ac:dyDescent="0.25">
      <c r="A322" s="114"/>
    </row>
    <row r="323" spans="1:1" ht="15.75" customHeight="1" x14ac:dyDescent="0.25">
      <c r="A323" s="114"/>
    </row>
    <row r="324" spans="1:1" ht="15.75" customHeight="1" x14ac:dyDescent="0.25">
      <c r="A324" s="114"/>
    </row>
    <row r="325" spans="1:1" ht="15.75" customHeight="1" x14ac:dyDescent="0.25">
      <c r="A325" s="114"/>
    </row>
    <row r="326" spans="1:1" ht="15.75" customHeight="1" x14ac:dyDescent="0.25">
      <c r="A326" s="114"/>
    </row>
    <row r="327" spans="1:1" ht="15.75" customHeight="1" x14ac:dyDescent="0.25">
      <c r="A327" s="114"/>
    </row>
    <row r="328" spans="1:1" ht="15.75" customHeight="1" x14ac:dyDescent="0.25">
      <c r="A328" s="114"/>
    </row>
    <row r="329" spans="1:1" ht="15.75" customHeight="1" x14ac:dyDescent="0.25">
      <c r="A329" s="114"/>
    </row>
    <row r="330" spans="1:1" ht="15.75" customHeight="1" x14ac:dyDescent="0.25">
      <c r="A330" s="114"/>
    </row>
    <row r="331" spans="1:1" ht="15.75" customHeight="1" x14ac:dyDescent="0.25">
      <c r="A331" s="114"/>
    </row>
    <row r="332" spans="1:1" ht="15.75" customHeight="1" x14ac:dyDescent="0.25">
      <c r="A332" s="114"/>
    </row>
    <row r="333" spans="1:1" ht="15.75" customHeight="1" x14ac:dyDescent="0.25">
      <c r="A333" s="114"/>
    </row>
    <row r="334" spans="1:1" ht="15.75" customHeight="1" x14ac:dyDescent="0.25">
      <c r="A334" s="114"/>
    </row>
    <row r="335" spans="1:1" ht="15.75" customHeight="1" x14ac:dyDescent="0.25">
      <c r="A335" s="114"/>
    </row>
    <row r="336" spans="1:1" ht="15.75" customHeight="1" x14ac:dyDescent="0.25">
      <c r="A336" s="114"/>
    </row>
    <row r="337" spans="1:1" ht="15.75" customHeight="1" x14ac:dyDescent="0.25">
      <c r="A337" s="114"/>
    </row>
    <row r="338" spans="1:1" ht="15.75" customHeight="1" x14ac:dyDescent="0.25">
      <c r="A338" s="114"/>
    </row>
    <row r="339" spans="1:1" ht="15.75" customHeight="1" x14ac:dyDescent="0.25">
      <c r="A339" s="114"/>
    </row>
    <row r="340" spans="1:1" ht="15.75" customHeight="1" x14ac:dyDescent="0.25">
      <c r="A340" s="114"/>
    </row>
    <row r="341" spans="1:1" ht="15.75" customHeight="1" x14ac:dyDescent="0.25">
      <c r="A341" s="114"/>
    </row>
    <row r="342" spans="1:1" ht="15.75" customHeight="1" x14ac:dyDescent="0.25">
      <c r="A342" s="114"/>
    </row>
    <row r="343" spans="1:1" ht="15.75" customHeight="1" x14ac:dyDescent="0.25">
      <c r="A343" s="114"/>
    </row>
    <row r="344" spans="1:1" ht="15.75" customHeight="1" x14ac:dyDescent="0.25">
      <c r="A344" s="114"/>
    </row>
    <row r="345" spans="1:1" ht="15.75" customHeight="1" x14ac:dyDescent="0.25">
      <c r="A345" s="114"/>
    </row>
    <row r="346" spans="1:1" ht="15.75" customHeight="1" x14ac:dyDescent="0.25">
      <c r="A346" s="114"/>
    </row>
    <row r="347" spans="1:1" ht="15.75" customHeight="1" x14ac:dyDescent="0.25">
      <c r="A347" s="114"/>
    </row>
    <row r="348" spans="1:1" ht="15.75" customHeight="1" x14ac:dyDescent="0.25">
      <c r="A348" s="114"/>
    </row>
    <row r="349" spans="1:1" ht="15.75" customHeight="1" x14ac:dyDescent="0.25">
      <c r="A349" s="114"/>
    </row>
    <row r="350" spans="1:1" ht="15.75" customHeight="1" x14ac:dyDescent="0.25">
      <c r="A350" s="114"/>
    </row>
    <row r="351" spans="1:1" ht="15.75" customHeight="1" x14ac:dyDescent="0.25">
      <c r="A351" s="114"/>
    </row>
    <row r="352" spans="1:1" ht="15.75" customHeight="1" x14ac:dyDescent="0.25">
      <c r="A352" s="114"/>
    </row>
    <row r="353" spans="1:1" ht="15.75" customHeight="1" x14ac:dyDescent="0.25">
      <c r="A353" s="114"/>
    </row>
    <row r="354" spans="1:1" ht="15.75" customHeight="1" x14ac:dyDescent="0.25">
      <c r="A354" s="114"/>
    </row>
    <row r="355" spans="1:1" ht="15.75" customHeight="1" x14ac:dyDescent="0.25">
      <c r="A355" s="114"/>
    </row>
    <row r="356" spans="1:1" ht="15.75" customHeight="1" x14ac:dyDescent="0.25">
      <c r="A356" s="114"/>
    </row>
    <row r="357" spans="1:1" ht="15.75" customHeight="1" x14ac:dyDescent="0.25">
      <c r="A357" s="114"/>
    </row>
    <row r="358" spans="1:1" ht="15.75" customHeight="1" x14ac:dyDescent="0.25">
      <c r="A358" s="114"/>
    </row>
    <row r="359" spans="1:1" ht="15.75" customHeight="1" x14ac:dyDescent="0.25">
      <c r="A359" s="114"/>
    </row>
    <row r="360" spans="1:1" ht="15.75" customHeight="1" x14ac:dyDescent="0.25">
      <c r="A360" s="114"/>
    </row>
    <row r="361" spans="1:1" ht="15.75" customHeight="1" x14ac:dyDescent="0.25">
      <c r="A361" s="114"/>
    </row>
    <row r="362" spans="1:1" ht="15.75" customHeight="1" x14ac:dyDescent="0.25">
      <c r="A362" s="114"/>
    </row>
    <row r="363" spans="1:1" ht="15.75" customHeight="1" x14ac:dyDescent="0.25">
      <c r="A363" s="114"/>
    </row>
    <row r="364" spans="1:1" ht="15.75" customHeight="1" x14ac:dyDescent="0.25">
      <c r="A364" s="114"/>
    </row>
    <row r="365" spans="1:1" ht="15.75" customHeight="1" x14ac:dyDescent="0.25">
      <c r="A365" s="114"/>
    </row>
    <row r="366" spans="1:1" ht="15.75" customHeight="1" x14ac:dyDescent="0.25">
      <c r="A366" s="114"/>
    </row>
    <row r="367" spans="1:1" ht="15.75" customHeight="1" x14ac:dyDescent="0.25">
      <c r="A367" s="114"/>
    </row>
    <row r="368" spans="1:1" ht="15.75" customHeight="1" x14ac:dyDescent="0.25">
      <c r="A368" s="114"/>
    </row>
    <row r="369" spans="1:1" ht="15.75" customHeight="1" x14ac:dyDescent="0.25">
      <c r="A369" s="114"/>
    </row>
    <row r="370" spans="1:1" ht="15.75" customHeight="1" x14ac:dyDescent="0.25">
      <c r="A370" s="114"/>
    </row>
    <row r="371" spans="1:1" ht="15.75" customHeight="1" x14ac:dyDescent="0.25">
      <c r="A371" s="114"/>
    </row>
    <row r="372" spans="1:1" ht="15.75" customHeight="1" x14ac:dyDescent="0.25">
      <c r="A372" s="114"/>
    </row>
    <row r="373" spans="1:1" ht="15.75" customHeight="1" x14ac:dyDescent="0.25">
      <c r="A373" s="114"/>
    </row>
    <row r="374" spans="1:1" ht="15.75" customHeight="1" x14ac:dyDescent="0.25">
      <c r="A374" s="114"/>
    </row>
    <row r="375" spans="1:1" ht="15.75" customHeight="1" x14ac:dyDescent="0.25">
      <c r="A375" s="114"/>
    </row>
    <row r="376" spans="1:1" ht="15.75" customHeight="1" x14ac:dyDescent="0.25">
      <c r="A376" s="114"/>
    </row>
    <row r="377" spans="1:1" ht="15.75" customHeight="1" x14ac:dyDescent="0.25">
      <c r="A377" s="114"/>
    </row>
    <row r="378" spans="1:1" ht="15.75" customHeight="1" x14ac:dyDescent="0.25">
      <c r="A378" s="114"/>
    </row>
    <row r="379" spans="1:1" ht="15.75" customHeight="1" x14ac:dyDescent="0.25">
      <c r="A379" s="114"/>
    </row>
    <row r="380" spans="1:1" ht="15.75" customHeight="1" x14ac:dyDescent="0.25">
      <c r="A380" s="114"/>
    </row>
    <row r="381" spans="1:1" ht="15.75" customHeight="1" x14ac:dyDescent="0.25">
      <c r="A381" s="114"/>
    </row>
    <row r="382" spans="1:1" ht="15.75" customHeight="1" x14ac:dyDescent="0.25">
      <c r="A382" s="114"/>
    </row>
    <row r="383" spans="1:1" ht="15.75" customHeight="1" x14ac:dyDescent="0.25">
      <c r="A383" s="114"/>
    </row>
    <row r="384" spans="1:1" ht="15.75" customHeight="1" x14ac:dyDescent="0.25">
      <c r="A384" s="114"/>
    </row>
    <row r="385" spans="1:1" ht="15.75" customHeight="1" x14ac:dyDescent="0.25">
      <c r="A385" s="114"/>
    </row>
    <row r="386" spans="1:1" ht="15.75" customHeight="1" x14ac:dyDescent="0.25">
      <c r="A386" s="114"/>
    </row>
    <row r="387" spans="1:1" ht="15.75" customHeight="1" x14ac:dyDescent="0.25">
      <c r="A387" s="114"/>
    </row>
    <row r="388" spans="1:1" ht="15.75" customHeight="1" x14ac:dyDescent="0.25">
      <c r="A388" s="114"/>
    </row>
    <row r="389" spans="1:1" ht="15.75" customHeight="1" x14ac:dyDescent="0.25">
      <c r="A389" s="114"/>
    </row>
    <row r="390" spans="1:1" ht="15.75" customHeight="1" x14ac:dyDescent="0.25">
      <c r="A390" s="114"/>
    </row>
    <row r="391" spans="1:1" ht="15.75" customHeight="1" x14ac:dyDescent="0.25">
      <c r="A391" s="114"/>
    </row>
    <row r="392" spans="1:1" ht="15.75" customHeight="1" x14ac:dyDescent="0.25">
      <c r="A392" s="114"/>
    </row>
    <row r="393" spans="1:1" ht="15.75" customHeight="1" x14ac:dyDescent="0.25">
      <c r="A393" s="114"/>
    </row>
    <row r="394" spans="1:1" ht="15.75" customHeight="1" x14ac:dyDescent="0.25">
      <c r="A394" s="114"/>
    </row>
    <row r="395" spans="1:1" ht="15.75" customHeight="1" x14ac:dyDescent="0.25">
      <c r="A395" s="114"/>
    </row>
    <row r="396" spans="1:1" ht="15.75" customHeight="1" x14ac:dyDescent="0.25">
      <c r="A396" s="114"/>
    </row>
    <row r="397" spans="1:1" ht="15.75" customHeight="1" x14ac:dyDescent="0.25">
      <c r="A397" s="114"/>
    </row>
    <row r="398" spans="1:1" ht="15.75" customHeight="1" x14ac:dyDescent="0.25">
      <c r="A398" s="114"/>
    </row>
    <row r="399" spans="1:1" ht="15.75" customHeight="1" x14ac:dyDescent="0.25">
      <c r="A399" s="114"/>
    </row>
    <row r="400" spans="1:1" ht="15.75" customHeight="1" x14ac:dyDescent="0.25">
      <c r="A400" s="114"/>
    </row>
    <row r="401" spans="1:1" ht="15.75" customHeight="1" x14ac:dyDescent="0.25">
      <c r="A401" s="114"/>
    </row>
    <row r="402" spans="1:1" ht="15.75" customHeight="1" x14ac:dyDescent="0.25"/>
    <row r="403" spans="1:1" ht="15.75" customHeight="1" x14ac:dyDescent="0.25"/>
    <row r="404" spans="1:1" ht="15.75" customHeight="1" x14ac:dyDescent="0.25"/>
    <row r="405" spans="1:1" ht="15.75" customHeight="1" x14ac:dyDescent="0.25"/>
    <row r="406" spans="1:1" ht="15.75" customHeight="1" x14ac:dyDescent="0.25"/>
    <row r="407" spans="1:1" ht="15.75" customHeight="1" x14ac:dyDescent="0.25"/>
    <row r="408" spans="1:1" ht="15.75" customHeight="1" x14ac:dyDescent="0.25"/>
    <row r="409" spans="1:1" ht="15.75" customHeight="1" x14ac:dyDescent="0.25"/>
    <row r="410" spans="1:1" ht="15.75" customHeight="1" x14ac:dyDescent="0.25"/>
    <row r="411" spans="1:1" ht="15.75" customHeight="1" x14ac:dyDescent="0.25"/>
    <row r="412" spans="1:1" ht="15.75" customHeight="1" x14ac:dyDescent="0.25"/>
    <row r="413" spans="1:1" ht="15.75" customHeight="1" x14ac:dyDescent="0.25"/>
    <row r="414" spans="1:1" ht="15.75" customHeight="1" x14ac:dyDescent="0.25"/>
    <row r="415" spans="1:1" ht="15.75" customHeight="1" x14ac:dyDescent="0.25"/>
    <row r="416" spans="1: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3">
    <dataValidation type="list" allowBlank="1" sqref="C2:C201" xr:uid="{00000000-0002-0000-0300-000000000000}">
      <formula1>"Laki-laki,Perempuan"</formula1>
    </dataValidation>
    <dataValidation allowBlank="1" showDropDown="1" sqref="H2:I201" xr:uid="{00000000-0002-0000-0300-000001000000}"/>
    <dataValidation type="custom" allowBlank="1" showDropDown="1" sqref="A2:A201" xr:uid="{00000000-0002-0000-0300-000002000000}"/>
  </dataValidations>
  <hyperlinks>
    <hyperlink ref="B13" r:id="rId1" xr:uid="{00000000-0004-0000-0300-000000000000}"/>
    <hyperlink ref="B195" r:id="rId2" xr:uid="{00000000-0004-0000-0300-000001000000}"/>
    <hyperlink ref="B200" r:id="rId3" xr:uid="{00000000-0004-0000-0300-000002000000}"/>
  </hyperlinks>
  <pageMargins left="0.7" right="0.7" top="0.75" bottom="0.75" header="0" footer="0"/>
  <pageSetup orientation="landscape"/>
  <tableParts count="3"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2.6640625" customWidth="1"/>
    <col min="2" max="2" width="23.33203125" customWidth="1"/>
    <col min="3" max="3" width="15.109375" customWidth="1"/>
    <col min="4" max="4" width="35.88671875" customWidth="1"/>
    <col min="5" max="5" width="22.109375" customWidth="1"/>
    <col min="6" max="6" width="26.109375" customWidth="1"/>
    <col min="7" max="7" width="26.88671875" customWidth="1"/>
    <col min="8" max="8" width="24.33203125" customWidth="1"/>
  </cols>
  <sheetData>
    <row r="1" spans="1:28" ht="22.5" customHeight="1" x14ac:dyDescent="0.25">
      <c r="A1" s="116" t="s">
        <v>0</v>
      </c>
      <c r="B1" s="117" t="s">
        <v>2</v>
      </c>
      <c r="C1" s="116" t="s">
        <v>3</v>
      </c>
      <c r="D1" s="117" t="s">
        <v>4</v>
      </c>
      <c r="E1" s="116" t="s">
        <v>6</v>
      </c>
      <c r="F1" s="116" t="s">
        <v>10</v>
      </c>
      <c r="G1" s="9" t="s">
        <v>13</v>
      </c>
      <c r="H1" s="5" t="s">
        <v>16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ht="22.5" customHeight="1" x14ac:dyDescent="0.25">
      <c r="A2" s="118">
        <v>1</v>
      </c>
      <c r="B2" s="14" t="s">
        <v>707</v>
      </c>
      <c r="C2" s="14" t="s">
        <v>44</v>
      </c>
      <c r="D2" s="119" t="s">
        <v>714</v>
      </c>
      <c r="E2" s="14" t="s">
        <v>715</v>
      </c>
      <c r="F2" s="120" t="s">
        <v>716</v>
      </c>
      <c r="G2" s="121" t="s">
        <v>719</v>
      </c>
      <c r="H2" s="121" t="s">
        <v>720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22.5" customHeight="1" x14ac:dyDescent="0.25">
      <c r="A3" s="122">
        <v>2</v>
      </c>
      <c r="B3" s="40" t="s">
        <v>725</v>
      </c>
      <c r="C3" s="40" t="s">
        <v>20</v>
      </c>
      <c r="D3" s="123" t="s">
        <v>729</v>
      </c>
      <c r="E3" s="40" t="s">
        <v>731</v>
      </c>
      <c r="F3" s="124" t="s">
        <v>733</v>
      </c>
      <c r="G3" s="125" t="s">
        <v>735</v>
      </c>
      <c r="H3" s="125" t="s">
        <v>736</v>
      </c>
    </row>
    <row r="4" spans="1:28" ht="22.5" customHeight="1" x14ac:dyDescent="0.25">
      <c r="A4" s="118">
        <v>3</v>
      </c>
      <c r="B4" s="14" t="s">
        <v>740</v>
      </c>
      <c r="C4" s="14" t="s">
        <v>20</v>
      </c>
      <c r="D4" s="119" t="s">
        <v>743</v>
      </c>
      <c r="E4" s="14" t="s">
        <v>744</v>
      </c>
      <c r="F4" s="120" t="s">
        <v>747</v>
      </c>
      <c r="G4" s="125" t="s">
        <v>748</v>
      </c>
      <c r="H4" s="125" t="s">
        <v>749</v>
      </c>
    </row>
    <row r="5" spans="1:28" ht="22.5" customHeight="1" x14ac:dyDescent="0.25">
      <c r="A5" s="122">
        <v>4</v>
      </c>
      <c r="B5" s="40" t="s">
        <v>752</v>
      </c>
      <c r="C5" s="40" t="s">
        <v>20</v>
      </c>
      <c r="D5" s="40" t="s">
        <v>757</v>
      </c>
      <c r="E5" s="40" t="s">
        <v>759</v>
      </c>
      <c r="F5" s="124" t="s">
        <v>760</v>
      </c>
      <c r="G5" s="125" t="s">
        <v>763</v>
      </c>
      <c r="H5" s="125" t="s">
        <v>764</v>
      </c>
    </row>
    <row r="6" spans="1:28" ht="22.5" customHeight="1" x14ac:dyDescent="0.25">
      <c r="A6" s="118">
        <v>5</v>
      </c>
      <c r="B6" s="14" t="s">
        <v>766</v>
      </c>
      <c r="C6" s="14" t="s">
        <v>20</v>
      </c>
      <c r="D6" s="119" t="s">
        <v>771</v>
      </c>
      <c r="E6" s="14" t="s">
        <v>773</v>
      </c>
      <c r="F6" s="120" t="s">
        <v>775</v>
      </c>
      <c r="G6" s="125" t="s">
        <v>777</v>
      </c>
      <c r="H6" s="125" t="s">
        <v>778</v>
      </c>
    </row>
    <row r="7" spans="1:28" ht="22.5" customHeight="1" x14ac:dyDescent="0.25">
      <c r="A7" s="122">
        <v>6</v>
      </c>
      <c r="B7" s="40" t="s">
        <v>781</v>
      </c>
      <c r="C7" s="40" t="s">
        <v>44</v>
      </c>
      <c r="D7" s="40" t="s">
        <v>785</v>
      </c>
      <c r="E7" s="40" t="s">
        <v>787</v>
      </c>
      <c r="F7" s="124" t="s">
        <v>790</v>
      </c>
      <c r="G7" s="126" t="s">
        <v>792</v>
      </c>
      <c r="H7" s="127" t="s">
        <v>794</v>
      </c>
      <c r="I7" s="72"/>
      <c r="J7" s="72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</row>
    <row r="8" spans="1:28" ht="22.5" customHeight="1" x14ac:dyDescent="0.25">
      <c r="A8" s="118">
        <v>7</v>
      </c>
      <c r="B8" s="14" t="s">
        <v>800</v>
      </c>
      <c r="C8" s="14" t="s">
        <v>44</v>
      </c>
      <c r="D8" s="119" t="s">
        <v>804</v>
      </c>
      <c r="E8" s="14" t="s">
        <v>806</v>
      </c>
      <c r="F8" s="120" t="s">
        <v>808</v>
      </c>
      <c r="G8" s="127" t="s">
        <v>811</v>
      </c>
      <c r="H8" s="127" t="s">
        <v>812</v>
      </c>
      <c r="I8" s="78"/>
      <c r="J8" s="78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</row>
    <row r="9" spans="1:28" ht="22.5" customHeight="1" x14ac:dyDescent="0.25">
      <c r="A9" s="122">
        <v>8</v>
      </c>
      <c r="B9" s="40" t="s">
        <v>820</v>
      </c>
      <c r="C9" s="40" t="s">
        <v>20</v>
      </c>
      <c r="D9" s="40" t="s">
        <v>823</v>
      </c>
      <c r="E9" s="40" t="s">
        <v>824</v>
      </c>
      <c r="F9" s="124" t="s">
        <v>826</v>
      </c>
      <c r="G9" s="126" t="s">
        <v>828</v>
      </c>
      <c r="H9" s="127" t="s">
        <v>829</v>
      </c>
      <c r="I9" s="72"/>
      <c r="J9" s="72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</row>
    <row r="10" spans="1:28" ht="22.5" customHeight="1" x14ac:dyDescent="0.25">
      <c r="A10" s="118">
        <v>9</v>
      </c>
      <c r="B10" s="14" t="s">
        <v>820</v>
      </c>
      <c r="C10" s="14" t="s">
        <v>20</v>
      </c>
      <c r="D10" s="14" t="s">
        <v>823</v>
      </c>
      <c r="E10" s="14" t="s">
        <v>824</v>
      </c>
      <c r="F10" s="120" t="s">
        <v>826</v>
      </c>
      <c r="G10" s="126" t="s">
        <v>838</v>
      </c>
      <c r="H10" s="127" t="s">
        <v>839</v>
      </c>
      <c r="I10" s="72"/>
      <c r="J10" s="72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</row>
    <row r="11" spans="1:28" ht="22.5" customHeight="1" x14ac:dyDescent="0.25">
      <c r="A11" s="122">
        <v>10</v>
      </c>
      <c r="B11" s="40" t="s">
        <v>841</v>
      </c>
      <c r="C11" s="40" t="s">
        <v>44</v>
      </c>
      <c r="D11" s="123" t="s">
        <v>844</v>
      </c>
      <c r="E11" s="40" t="s">
        <v>845</v>
      </c>
      <c r="F11" s="47" t="s">
        <v>846</v>
      </c>
      <c r="G11" s="126" t="s">
        <v>847</v>
      </c>
      <c r="H11" s="127" t="s">
        <v>848</v>
      </c>
      <c r="I11" s="72"/>
      <c r="J11" s="72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</row>
    <row r="12" spans="1:28" ht="22.5" customHeight="1" x14ac:dyDescent="0.25">
      <c r="A12" s="118">
        <v>11</v>
      </c>
      <c r="B12" s="14" t="s">
        <v>850</v>
      </c>
      <c r="C12" s="14" t="s">
        <v>20</v>
      </c>
      <c r="D12" s="119" t="s">
        <v>853</v>
      </c>
      <c r="E12" s="14" t="s">
        <v>854</v>
      </c>
      <c r="F12" s="120" t="s">
        <v>856</v>
      </c>
      <c r="G12" s="127" t="s">
        <v>858</v>
      </c>
      <c r="H12" s="127" t="s">
        <v>860</v>
      </c>
      <c r="I12" s="78"/>
      <c r="J12" s="78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</row>
    <row r="13" spans="1:28" ht="22.5" customHeight="1" x14ac:dyDescent="0.25">
      <c r="A13" s="122">
        <v>12</v>
      </c>
      <c r="B13" s="40" t="s">
        <v>863</v>
      </c>
      <c r="C13" s="40" t="s">
        <v>44</v>
      </c>
      <c r="D13" s="40" t="s">
        <v>866</v>
      </c>
      <c r="E13" s="40" t="s">
        <v>868</v>
      </c>
      <c r="F13" s="124" t="s">
        <v>870</v>
      </c>
      <c r="G13" s="127" t="s">
        <v>871</v>
      </c>
      <c r="H13" s="127" t="s">
        <v>872</v>
      </c>
      <c r="I13" s="78"/>
      <c r="J13" s="78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</row>
    <row r="14" spans="1:28" ht="22.5" customHeight="1" x14ac:dyDescent="0.25">
      <c r="A14" s="118">
        <v>13</v>
      </c>
      <c r="B14" s="14" t="s">
        <v>875</v>
      </c>
      <c r="C14" s="14" t="s">
        <v>20</v>
      </c>
      <c r="D14" s="119" t="s">
        <v>880</v>
      </c>
      <c r="E14" s="14" t="s">
        <v>881</v>
      </c>
      <c r="F14" s="139" t="s">
        <v>882</v>
      </c>
      <c r="G14" s="140" t="s">
        <v>885</v>
      </c>
      <c r="H14" s="140" t="s">
        <v>887</v>
      </c>
      <c r="I14" s="78"/>
      <c r="J14" s="78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</row>
    <row r="15" spans="1:28" ht="22.5" customHeight="1" x14ac:dyDescent="0.25">
      <c r="A15" s="122">
        <v>14</v>
      </c>
      <c r="B15" s="40" t="s">
        <v>891</v>
      </c>
      <c r="C15" s="40" t="s">
        <v>20</v>
      </c>
      <c r="D15" s="40" t="s">
        <v>893</v>
      </c>
      <c r="E15" s="40" t="s">
        <v>894</v>
      </c>
      <c r="F15" s="124" t="s">
        <v>896</v>
      </c>
      <c r="G15" s="140" t="s">
        <v>897</v>
      </c>
      <c r="H15" s="140" t="s">
        <v>899</v>
      </c>
      <c r="I15" s="78"/>
      <c r="J15" s="78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</row>
    <row r="16" spans="1:28" ht="22.5" customHeight="1" x14ac:dyDescent="0.25">
      <c r="A16" s="118">
        <v>15</v>
      </c>
      <c r="B16" s="14" t="s">
        <v>900</v>
      </c>
      <c r="C16" s="14" t="s">
        <v>20</v>
      </c>
      <c r="D16" s="14" t="s">
        <v>902</v>
      </c>
      <c r="E16" s="14" t="s">
        <v>903</v>
      </c>
      <c r="F16" s="120" t="s">
        <v>904</v>
      </c>
      <c r="G16" s="140" t="s">
        <v>906</v>
      </c>
      <c r="H16" s="140" t="s">
        <v>907</v>
      </c>
      <c r="I16" s="78"/>
      <c r="J16" s="78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</row>
    <row r="17" spans="1:28" ht="22.5" customHeight="1" x14ac:dyDescent="0.25">
      <c r="A17" s="122">
        <v>16</v>
      </c>
      <c r="B17" s="40" t="s">
        <v>910</v>
      </c>
      <c r="C17" s="40" t="s">
        <v>20</v>
      </c>
      <c r="D17" s="40" t="s">
        <v>880</v>
      </c>
      <c r="E17" s="40" t="s">
        <v>911</v>
      </c>
      <c r="F17" s="141" t="s">
        <v>912</v>
      </c>
      <c r="G17" s="140" t="s">
        <v>885</v>
      </c>
      <c r="H17" s="140" t="s">
        <v>887</v>
      </c>
      <c r="I17" s="78"/>
      <c r="J17" s="78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</row>
    <row r="18" spans="1:28" ht="22.5" customHeight="1" x14ac:dyDescent="0.25">
      <c r="A18" s="98">
        <v>17</v>
      </c>
      <c r="B18" s="99" t="s">
        <v>916</v>
      </c>
      <c r="C18" s="99" t="s">
        <v>20</v>
      </c>
      <c r="D18" s="99" t="s">
        <v>919</v>
      </c>
      <c r="E18" s="99" t="s">
        <v>920</v>
      </c>
      <c r="F18" s="142" t="s">
        <v>922</v>
      </c>
      <c r="G18" s="140" t="s">
        <v>923</v>
      </c>
      <c r="H18" s="140" t="s">
        <v>924</v>
      </c>
      <c r="I18" s="78"/>
      <c r="J18" s="78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</row>
    <row r="19" spans="1:28" ht="15.75" customHeight="1" x14ac:dyDescent="0.25">
      <c r="A19" s="114"/>
    </row>
    <row r="20" spans="1:28" ht="15.75" customHeight="1" x14ac:dyDescent="0.25">
      <c r="A20" s="114"/>
    </row>
    <row r="21" spans="1:28" ht="15.75" customHeight="1" x14ac:dyDescent="0.25">
      <c r="A21" s="114"/>
    </row>
    <row r="22" spans="1:28" ht="15.75" customHeight="1" x14ac:dyDescent="0.25">
      <c r="A22" s="114"/>
    </row>
    <row r="23" spans="1:28" ht="15.75" customHeight="1" x14ac:dyDescent="0.25">
      <c r="A23" s="114"/>
    </row>
    <row r="24" spans="1:28" ht="15.75" customHeight="1" x14ac:dyDescent="0.25">
      <c r="A24" s="114"/>
    </row>
    <row r="25" spans="1:28" ht="15.75" customHeight="1" x14ac:dyDescent="0.25">
      <c r="A25" s="114"/>
    </row>
    <row r="26" spans="1:28" ht="15.75" customHeight="1" x14ac:dyDescent="0.25">
      <c r="A26" s="114"/>
    </row>
    <row r="27" spans="1:28" ht="15.75" customHeight="1" x14ac:dyDescent="0.25">
      <c r="A27" s="114"/>
    </row>
    <row r="28" spans="1:28" ht="15.75" customHeight="1" x14ac:dyDescent="0.25">
      <c r="A28" s="114"/>
    </row>
    <row r="29" spans="1:28" ht="15.75" customHeight="1" x14ac:dyDescent="0.25">
      <c r="A29" s="114"/>
    </row>
    <row r="30" spans="1:28" ht="15.75" customHeight="1" x14ac:dyDescent="0.25">
      <c r="A30" s="114"/>
    </row>
    <row r="31" spans="1:28" ht="15.75" customHeight="1" x14ac:dyDescent="0.25">
      <c r="A31" s="114"/>
    </row>
    <row r="32" spans="1:28" ht="15.75" customHeight="1" x14ac:dyDescent="0.25">
      <c r="A32" s="114"/>
    </row>
    <row r="33" spans="1:1" ht="15.75" customHeight="1" x14ac:dyDescent="0.25">
      <c r="A33" s="114"/>
    </row>
    <row r="34" spans="1:1" ht="15.75" customHeight="1" x14ac:dyDescent="0.25">
      <c r="A34" s="114"/>
    </row>
    <row r="35" spans="1:1" ht="15.75" customHeight="1" x14ac:dyDescent="0.25">
      <c r="A35" s="114"/>
    </row>
    <row r="36" spans="1:1" ht="15.75" customHeight="1" x14ac:dyDescent="0.25">
      <c r="A36" s="114"/>
    </row>
    <row r="37" spans="1:1" ht="15.75" customHeight="1" x14ac:dyDescent="0.25">
      <c r="A37" s="114"/>
    </row>
    <row r="38" spans="1:1" ht="15.75" customHeight="1" x14ac:dyDescent="0.25">
      <c r="A38" s="114"/>
    </row>
    <row r="39" spans="1:1" ht="15.75" customHeight="1" x14ac:dyDescent="0.25">
      <c r="A39" s="114"/>
    </row>
    <row r="40" spans="1:1" ht="15.75" customHeight="1" x14ac:dyDescent="0.25">
      <c r="A40" s="114"/>
    </row>
    <row r="41" spans="1:1" ht="15.75" customHeight="1" x14ac:dyDescent="0.25">
      <c r="A41" s="114"/>
    </row>
    <row r="42" spans="1:1" ht="15.75" customHeight="1" x14ac:dyDescent="0.25">
      <c r="A42" s="114"/>
    </row>
    <row r="43" spans="1:1" ht="15.75" customHeight="1" x14ac:dyDescent="0.25">
      <c r="A43" s="114"/>
    </row>
    <row r="44" spans="1:1" ht="15.75" customHeight="1" x14ac:dyDescent="0.25">
      <c r="A44" s="114"/>
    </row>
    <row r="45" spans="1:1" ht="15.75" customHeight="1" x14ac:dyDescent="0.25">
      <c r="A45" s="114"/>
    </row>
    <row r="46" spans="1:1" ht="15.75" customHeight="1" x14ac:dyDescent="0.25">
      <c r="A46" s="114"/>
    </row>
    <row r="47" spans="1:1" ht="15.75" customHeight="1" x14ac:dyDescent="0.25">
      <c r="A47" s="114"/>
    </row>
    <row r="48" spans="1:1" ht="15.75" customHeight="1" x14ac:dyDescent="0.25">
      <c r="A48" s="114"/>
    </row>
    <row r="49" spans="1:1" ht="15.75" customHeight="1" x14ac:dyDescent="0.25">
      <c r="A49" s="114"/>
    </row>
    <row r="50" spans="1:1" ht="15.75" customHeight="1" x14ac:dyDescent="0.25">
      <c r="A50" s="114"/>
    </row>
    <row r="51" spans="1:1" ht="15.75" customHeight="1" x14ac:dyDescent="0.25">
      <c r="A51" s="114"/>
    </row>
    <row r="52" spans="1:1" ht="15.75" customHeight="1" x14ac:dyDescent="0.25">
      <c r="A52" s="114"/>
    </row>
    <row r="53" spans="1:1" ht="15.75" customHeight="1" x14ac:dyDescent="0.25">
      <c r="A53" s="114"/>
    </row>
    <row r="54" spans="1:1" ht="15.75" customHeight="1" x14ac:dyDescent="0.25">
      <c r="A54" s="114"/>
    </row>
    <row r="55" spans="1:1" ht="15.75" customHeight="1" x14ac:dyDescent="0.25">
      <c r="A55" s="114"/>
    </row>
    <row r="56" spans="1:1" ht="15.75" customHeight="1" x14ac:dyDescent="0.25">
      <c r="A56" s="114"/>
    </row>
    <row r="57" spans="1:1" ht="15.75" customHeight="1" x14ac:dyDescent="0.25">
      <c r="A57" s="114"/>
    </row>
    <row r="58" spans="1:1" ht="15.75" customHeight="1" x14ac:dyDescent="0.25">
      <c r="A58" s="114"/>
    </row>
    <row r="59" spans="1:1" ht="15.75" customHeight="1" x14ac:dyDescent="0.25">
      <c r="A59" s="114"/>
    </row>
    <row r="60" spans="1:1" ht="15.75" customHeight="1" x14ac:dyDescent="0.25">
      <c r="A60" s="114"/>
    </row>
    <row r="61" spans="1:1" ht="15.75" customHeight="1" x14ac:dyDescent="0.25">
      <c r="A61" s="114"/>
    </row>
    <row r="62" spans="1:1" ht="15.75" customHeight="1" x14ac:dyDescent="0.25">
      <c r="A62" s="114"/>
    </row>
    <row r="63" spans="1:1" ht="15.75" customHeight="1" x14ac:dyDescent="0.25">
      <c r="A63" s="114"/>
    </row>
    <row r="64" spans="1:1" ht="15.75" customHeight="1" x14ac:dyDescent="0.25">
      <c r="A64" s="114"/>
    </row>
    <row r="65" spans="1:1" ht="15.75" customHeight="1" x14ac:dyDescent="0.25">
      <c r="A65" s="114"/>
    </row>
    <row r="66" spans="1:1" ht="15.75" customHeight="1" x14ac:dyDescent="0.25">
      <c r="A66" s="114"/>
    </row>
    <row r="67" spans="1:1" ht="15.75" customHeight="1" x14ac:dyDescent="0.25">
      <c r="A67" s="114"/>
    </row>
    <row r="68" spans="1:1" ht="15.75" customHeight="1" x14ac:dyDescent="0.25">
      <c r="A68" s="114"/>
    </row>
    <row r="69" spans="1:1" ht="15.75" customHeight="1" x14ac:dyDescent="0.25">
      <c r="A69" s="114"/>
    </row>
    <row r="70" spans="1:1" ht="15.75" customHeight="1" x14ac:dyDescent="0.25">
      <c r="A70" s="114"/>
    </row>
    <row r="71" spans="1:1" ht="15.75" customHeight="1" x14ac:dyDescent="0.25">
      <c r="A71" s="114"/>
    </row>
    <row r="72" spans="1:1" ht="15.75" customHeight="1" x14ac:dyDescent="0.25">
      <c r="A72" s="114"/>
    </row>
    <row r="73" spans="1:1" ht="15.75" customHeight="1" x14ac:dyDescent="0.25">
      <c r="A73" s="114"/>
    </row>
    <row r="74" spans="1:1" ht="15.75" customHeight="1" x14ac:dyDescent="0.25">
      <c r="A74" s="114"/>
    </row>
    <row r="75" spans="1:1" ht="15.75" customHeight="1" x14ac:dyDescent="0.25">
      <c r="A75" s="114"/>
    </row>
    <row r="76" spans="1:1" ht="15.75" customHeight="1" x14ac:dyDescent="0.25">
      <c r="A76" s="114"/>
    </row>
    <row r="77" spans="1:1" ht="15.75" customHeight="1" x14ac:dyDescent="0.25">
      <c r="A77" s="114"/>
    </row>
    <row r="78" spans="1:1" ht="15.75" customHeight="1" x14ac:dyDescent="0.25">
      <c r="A78" s="114"/>
    </row>
    <row r="79" spans="1:1" ht="15.75" customHeight="1" x14ac:dyDescent="0.25">
      <c r="A79" s="114"/>
    </row>
    <row r="80" spans="1:1" ht="15.75" customHeight="1" x14ac:dyDescent="0.25">
      <c r="A80" s="114"/>
    </row>
    <row r="81" spans="1:1" ht="15.75" customHeight="1" x14ac:dyDescent="0.25">
      <c r="A81" s="114"/>
    </row>
    <row r="82" spans="1:1" ht="15.75" customHeight="1" x14ac:dyDescent="0.25">
      <c r="A82" s="114"/>
    </row>
    <row r="83" spans="1:1" ht="15.75" customHeight="1" x14ac:dyDescent="0.25">
      <c r="A83" s="114"/>
    </row>
    <row r="84" spans="1:1" ht="15.75" customHeight="1" x14ac:dyDescent="0.25">
      <c r="A84" s="114"/>
    </row>
    <row r="85" spans="1:1" ht="15.75" customHeight="1" x14ac:dyDescent="0.25">
      <c r="A85" s="114"/>
    </row>
    <row r="86" spans="1:1" ht="15.75" customHeight="1" x14ac:dyDescent="0.25">
      <c r="A86" s="114"/>
    </row>
    <row r="87" spans="1:1" ht="15.75" customHeight="1" x14ac:dyDescent="0.25">
      <c r="A87" s="114"/>
    </row>
    <row r="88" spans="1:1" ht="15.75" customHeight="1" x14ac:dyDescent="0.25">
      <c r="A88" s="114"/>
    </row>
    <row r="89" spans="1:1" ht="15.75" customHeight="1" x14ac:dyDescent="0.25">
      <c r="A89" s="114"/>
    </row>
    <row r="90" spans="1:1" ht="15.75" customHeight="1" x14ac:dyDescent="0.25">
      <c r="A90" s="114"/>
    </row>
    <row r="91" spans="1:1" ht="15.75" customHeight="1" x14ac:dyDescent="0.25">
      <c r="A91" s="114"/>
    </row>
    <row r="92" spans="1:1" ht="15.75" customHeight="1" x14ac:dyDescent="0.25">
      <c r="A92" s="114"/>
    </row>
    <row r="93" spans="1:1" ht="15.75" customHeight="1" x14ac:dyDescent="0.25">
      <c r="A93" s="114"/>
    </row>
    <row r="94" spans="1:1" ht="15.75" customHeight="1" x14ac:dyDescent="0.25">
      <c r="A94" s="114"/>
    </row>
    <row r="95" spans="1:1" ht="15.75" customHeight="1" x14ac:dyDescent="0.25">
      <c r="A95" s="114"/>
    </row>
    <row r="96" spans="1:1" ht="15.75" customHeight="1" x14ac:dyDescent="0.25">
      <c r="A96" s="114"/>
    </row>
    <row r="97" spans="1:1" ht="15.75" customHeight="1" x14ac:dyDescent="0.25">
      <c r="A97" s="114"/>
    </row>
    <row r="98" spans="1:1" ht="15.75" customHeight="1" x14ac:dyDescent="0.25">
      <c r="A98" s="114"/>
    </row>
    <row r="99" spans="1:1" ht="15.75" customHeight="1" x14ac:dyDescent="0.25">
      <c r="A99" s="114"/>
    </row>
    <row r="100" spans="1:1" ht="15.75" customHeight="1" x14ac:dyDescent="0.25">
      <c r="A100" s="114"/>
    </row>
    <row r="101" spans="1:1" ht="15.75" customHeight="1" x14ac:dyDescent="0.25">
      <c r="A101" s="114"/>
    </row>
    <row r="102" spans="1:1" ht="15.75" customHeight="1" x14ac:dyDescent="0.25">
      <c r="A102" s="114"/>
    </row>
    <row r="103" spans="1:1" ht="15.75" customHeight="1" x14ac:dyDescent="0.25">
      <c r="A103" s="114"/>
    </row>
    <row r="104" spans="1:1" ht="15.75" customHeight="1" x14ac:dyDescent="0.25">
      <c r="A104" s="114"/>
    </row>
    <row r="105" spans="1:1" ht="15.75" customHeight="1" x14ac:dyDescent="0.25">
      <c r="A105" s="114"/>
    </row>
    <row r="106" spans="1:1" ht="15.75" customHeight="1" x14ac:dyDescent="0.25">
      <c r="A106" s="114"/>
    </row>
    <row r="107" spans="1:1" ht="15.75" customHeight="1" x14ac:dyDescent="0.25">
      <c r="A107" s="114"/>
    </row>
    <row r="108" spans="1:1" ht="15.75" customHeight="1" x14ac:dyDescent="0.25">
      <c r="A108" s="114"/>
    </row>
    <row r="109" spans="1:1" ht="15.75" customHeight="1" x14ac:dyDescent="0.25">
      <c r="A109" s="114"/>
    </row>
    <row r="110" spans="1:1" ht="15.75" customHeight="1" x14ac:dyDescent="0.25">
      <c r="A110" s="114"/>
    </row>
    <row r="111" spans="1:1" ht="15.75" customHeight="1" x14ac:dyDescent="0.25">
      <c r="A111" s="114"/>
    </row>
    <row r="112" spans="1:1" ht="15.75" customHeight="1" x14ac:dyDescent="0.25">
      <c r="A112" s="114"/>
    </row>
    <row r="113" spans="1:1" ht="15.75" customHeight="1" x14ac:dyDescent="0.25">
      <c r="A113" s="114"/>
    </row>
    <row r="114" spans="1:1" ht="15.75" customHeight="1" x14ac:dyDescent="0.25">
      <c r="A114" s="114"/>
    </row>
    <row r="115" spans="1:1" ht="15.75" customHeight="1" x14ac:dyDescent="0.25">
      <c r="A115" s="114"/>
    </row>
    <row r="116" spans="1:1" ht="15.75" customHeight="1" x14ac:dyDescent="0.25">
      <c r="A116" s="114"/>
    </row>
    <row r="117" spans="1:1" ht="15.75" customHeight="1" x14ac:dyDescent="0.25">
      <c r="A117" s="114"/>
    </row>
    <row r="118" spans="1:1" ht="15.75" customHeight="1" x14ac:dyDescent="0.25">
      <c r="A118" s="114"/>
    </row>
    <row r="119" spans="1:1" ht="15.75" customHeight="1" x14ac:dyDescent="0.25">
      <c r="A119" s="114"/>
    </row>
    <row r="120" spans="1:1" ht="15.75" customHeight="1" x14ac:dyDescent="0.25">
      <c r="A120" s="114"/>
    </row>
    <row r="121" spans="1:1" ht="15.75" customHeight="1" x14ac:dyDescent="0.25">
      <c r="A121" s="114"/>
    </row>
    <row r="122" spans="1:1" ht="15.75" customHeight="1" x14ac:dyDescent="0.25">
      <c r="A122" s="114"/>
    </row>
    <row r="123" spans="1:1" ht="15.75" customHeight="1" x14ac:dyDescent="0.25">
      <c r="A123" s="114"/>
    </row>
    <row r="124" spans="1:1" ht="15.75" customHeight="1" x14ac:dyDescent="0.25">
      <c r="A124" s="114"/>
    </row>
    <row r="125" spans="1:1" ht="15.75" customHeight="1" x14ac:dyDescent="0.25">
      <c r="A125" s="114"/>
    </row>
    <row r="126" spans="1:1" ht="15.75" customHeight="1" x14ac:dyDescent="0.25">
      <c r="A126" s="114"/>
    </row>
    <row r="127" spans="1:1" ht="15.75" customHeight="1" x14ac:dyDescent="0.25">
      <c r="A127" s="114"/>
    </row>
    <row r="128" spans="1:1" ht="15.75" customHeight="1" x14ac:dyDescent="0.25">
      <c r="A128" s="114"/>
    </row>
    <row r="129" spans="1:1" ht="15.75" customHeight="1" x14ac:dyDescent="0.25">
      <c r="A129" s="114"/>
    </row>
    <row r="130" spans="1:1" ht="15.75" customHeight="1" x14ac:dyDescent="0.25">
      <c r="A130" s="114"/>
    </row>
    <row r="131" spans="1:1" ht="15.75" customHeight="1" x14ac:dyDescent="0.25">
      <c r="A131" s="114"/>
    </row>
    <row r="132" spans="1:1" ht="15.75" customHeight="1" x14ac:dyDescent="0.25">
      <c r="A132" s="114"/>
    </row>
    <row r="133" spans="1:1" ht="15.75" customHeight="1" x14ac:dyDescent="0.25">
      <c r="A133" s="114"/>
    </row>
    <row r="134" spans="1:1" ht="15.75" customHeight="1" x14ac:dyDescent="0.25">
      <c r="A134" s="114"/>
    </row>
    <row r="135" spans="1:1" ht="15.75" customHeight="1" x14ac:dyDescent="0.25">
      <c r="A135" s="114"/>
    </row>
    <row r="136" spans="1:1" ht="15.75" customHeight="1" x14ac:dyDescent="0.25">
      <c r="A136" s="114"/>
    </row>
    <row r="137" spans="1:1" ht="15.75" customHeight="1" x14ac:dyDescent="0.25">
      <c r="A137" s="114"/>
    </row>
    <row r="138" spans="1:1" ht="15.75" customHeight="1" x14ac:dyDescent="0.25">
      <c r="A138" s="114"/>
    </row>
    <row r="139" spans="1:1" ht="15.75" customHeight="1" x14ac:dyDescent="0.25">
      <c r="A139" s="114"/>
    </row>
    <row r="140" spans="1:1" ht="15.75" customHeight="1" x14ac:dyDescent="0.25">
      <c r="A140" s="114"/>
    </row>
    <row r="141" spans="1:1" ht="15.75" customHeight="1" x14ac:dyDescent="0.25">
      <c r="A141" s="114"/>
    </row>
    <row r="142" spans="1:1" ht="15.75" customHeight="1" x14ac:dyDescent="0.25">
      <c r="A142" s="114"/>
    </row>
    <row r="143" spans="1:1" ht="15.75" customHeight="1" x14ac:dyDescent="0.25">
      <c r="A143" s="114"/>
    </row>
    <row r="144" spans="1:1" ht="15.75" customHeight="1" x14ac:dyDescent="0.25">
      <c r="A144" s="114"/>
    </row>
    <row r="145" spans="1:1" ht="15.75" customHeight="1" x14ac:dyDescent="0.25">
      <c r="A145" s="114"/>
    </row>
    <row r="146" spans="1:1" ht="15.75" customHeight="1" x14ac:dyDescent="0.25">
      <c r="A146" s="114"/>
    </row>
    <row r="147" spans="1:1" ht="15.75" customHeight="1" x14ac:dyDescent="0.25">
      <c r="A147" s="114"/>
    </row>
    <row r="148" spans="1:1" ht="15.75" customHeight="1" x14ac:dyDescent="0.25">
      <c r="A148" s="114"/>
    </row>
    <row r="149" spans="1:1" ht="15.75" customHeight="1" x14ac:dyDescent="0.25">
      <c r="A149" s="114"/>
    </row>
    <row r="150" spans="1:1" ht="15.75" customHeight="1" x14ac:dyDescent="0.25">
      <c r="A150" s="114"/>
    </row>
    <row r="151" spans="1:1" ht="15.75" customHeight="1" x14ac:dyDescent="0.25">
      <c r="A151" s="114"/>
    </row>
    <row r="152" spans="1:1" ht="15.75" customHeight="1" x14ac:dyDescent="0.25">
      <c r="A152" s="114"/>
    </row>
    <row r="153" spans="1:1" ht="15.75" customHeight="1" x14ac:dyDescent="0.25">
      <c r="A153" s="114"/>
    </row>
    <row r="154" spans="1:1" ht="15.75" customHeight="1" x14ac:dyDescent="0.25">
      <c r="A154" s="114"/>
    </row>
    <row r="155" spans="1:1" ht="15.75" customHeight="1" x14ac:dyDescent="0.25">
      <c r="A155" s="114"/>
    </row>
    <row r="156" spans="1:1" ht="15.75" customHeight="1" x14ac:dyDescent="0.25">
      <c r="A156" s="114"/>
    </row>
    <row r="157" spans="1:1" ht="15.75" customHeight="1" x14ac:dyDescent="0.25">
      <c r="A157" s="114"/>
    </row>
    <row r="158" spans="1:1" ht="15.75" customHeight="1" x14ac:dyDescent="0.25">
      <c r="A158" s="114"/>
    </row>
    <row r="159" spans="1:1" ht="15.75" customHeight="1" x14ac:dyDescent="0.25">
      <c r="A159" s="114"/>
    </row>
    <row r="160" spans="1:1" ht="15.75" customHeight="1" x14ac:dyDescent="0.25">
      <c r="A160" s="114"/>
    </row>
    <row r="161" spans="1:1" ht="15.75" customHeight="1" x14ac:dyDescent="0.25">
      <c r="A161" s="114"/>
    </row>
    <row r="162" spans="1:1" ht="15.75" customHeight="1" x14ac:dyDescent="0.25">
      <c r="A162" s="114"/>
    </row>
    <row r="163" spans="1:1" ht="15.75" customHeight="1" x14ac:dyDescent="0.25">
      <c r="A163" s="114"/>
    </row>
    <row r="164" spans="1:1" ht="15.75" customHeight="1" x14ac:dyDescent="0.25">
      <c r="A164" s="114"/>
    </row>
    <row r="165" spans="1:1" ht="15.75" customHeight="1" x14ac:dyDescent="0.25">
      <c r="A165" s="114"/>
    </row>
    <row r="166" spans="1:1" ht="15.75" customHeight="1" x14ac:dyDescent="0.25">
      <c r="A166" s="114"/>
    </row>
    <row r="167" spans="1:1" ht="15.75" customHeight="1" x14ac:dyDescent="0.25">
      <c r="A167" s="114"/>
    </row>
    <row r="168" spans="1:1" ht="15.75" customHeight="1" x14ac:dyDescent="0.25">
      <c r="A168" s="114"/>
    </row>
    <row r="169" spans="1:1" ht="15.75" customHeight="1" x14ac:dyDescent="0.25">
      <c r="A169" s="114"/>
    </row>
    <row r="170" spans="1:1" ht="15.75" customHeight="1" x14ac:dyDescent="0.25">
      <c r="A170" s="114"/>
    </row>
    <row r="171" spans="1:1" ht="15.75" customHeight="1" x14ac:dyDescent="0.25">
      <c r="A171" s="114"/>
    </row>
    <row r="172" spans="1:1" ht="15.75" customHeight="1" x14ac:dyDescent="0.25">
      <c r="A172" s="114"/>
    </row>
    <row r="173" spans="1:1" ht="15.75" customHeight="1" x14ac:dyDescent="0.25">
      <c r="A173" s="114"/>
    </row>
    <row r="174" spans="1:1" ht="15.75" customHeight="1" x14ac:dyDescent="0.25">
      <c r="A174" s="114"/>
    </row>
    <row r="175" spans="1:1" ht="15.75" customHeight="1" x14ac:dyDescent="0.25">
      <c r="A175" s="114"/>
    </row>
    <row r="176" spans="1:1" ht="15.75" customHeight="1" x14ac:dyDescent="0.25">
      <c r="A176" s="114"/>
    </row>
    <row r="177" spans="1:1" ht="15.75" customHeight="1" x14ac:dyDescent="0.25">
      <c r="A177" s="114"/>
    </row>
    <row r="178" spans="1:1" ht="15.75" customHeight="1" x14ac:dyDescent="0.25">
      <c r="A178" s="114"/>
    </row>
    <row r="179" spans="1:1" ht="15.75" customHeight="1" x14ac:dyDescent="0.25">
      <c r="A179" s="114"/>
    </row>
    <row r="180" spans="1:1" ht="15.75" customHeight="1" x14ac:dyDescent="0.25">
      <c r="A180" s="114"/>
    </row>
    <row r="181" spans="1:1" ht="15.75" customHeight="1" x14ac:dyDescent="0.25">
      <c r="A181" s="114"/>
    </row>
    <row r="182" spans="1:1" ht="15.75" customHeight="1" x14ac:dyDescent="0.25">
      <c r="A182" s="114"/>
    </row>
    <row r="183" spans="1:1" ht="15.75" customHeight="1" x14ac:dyDescent="0.25">
      <c r="A183" s="114"/>
    </row>
    <row r="184" spans="1:1" ht="15.75" customHeight="1" x14ac:dyDescent="0.25">
      <c r="A184" s="114"/>
    </row>
    <row r="185" spans="1:1" ht="15.75" customHeight="1" x14ac:dyDescent="0.25">
      <c r="A185" s="114"/>
    </row>
    <row r="186" spans="1:1" ht="15.75" customHeight="1" x14ac:dyDescent="0.25">
      <c r="A186" s="114"/>
    </row>
    <row r="187" spans="1:1" ht="15.75" customHeight="1" x14ac:dyDescent="0.25">
      <c r="A187" s="114"/>
    </row>
    <row r="188" spans="1:1" ht="15.75" customHeight="1" x14ac:dyDescent="0.25">
      <c r="A188" s="114"/>
    </row>
    <row r="189" spans="1:1" ht="15.75" customHeight="1" x14ac:dyDescent="0.25">
      <c r="A189" s="114"/>
    </row>
    <row r="190" spans="1:1" ht="15.75" customHeight="1" x14ac:dyDescent="0.25">
      <c r="A190" s="114"/>
    </row>
    <row r="191" spans="1:1" ht="15.75" customHeight="1" x14ac:dyDescent="0.25">
      <c r="A191" s="114"/>
    </row>
    <row r="192" spans="1:1" ht="15.75" customHeight="1" x14ac:dyDescent="0.25">
      <c r="A192" s="114"/>
    </row>
    <row r="193" spans="1:1" ht="15.75" customHeight="1" x14ac:dyDescent="0.25">
      <c r="A193" s="114"/>
    </row>
    <row r="194" spans="1:1" ht="15.75" customHeight="1" x14ac:dyDescent="0.25">
      <c r="A194" s="114"/>
    </row>
    <row r="195" spans="1:1" ht="15.75" customHeight="1" x14ac:dyDescent="0.25">
      <c r="A195" s="114"/>
    </row>
    <row r="196" spans="1:1" ht="15.75" customHeight="1" x14ac:dyDescent="0.25">
      <c r="A196" s="114"/>
    </row>
    <row r="197" spans="1:1" ht="15.75" customHeight="1" x14ac:dyDescent="0.25">
      <c r="A197" s="114"/>
    </row>
    <row r="198" spans="1:1" ht="15.75" customHeight="1" x14ac:dyDescent="0.25">
      <c r="A198" s="114"/>
    </row>
    <row r="199" spans="1:1" ht="15.75" customHeight="1" x14ac:dyDescent="0.25">
      <c r="A199" s="114"/>
    </row>
    <row r="200" spans="1:1" ht="15.75" customHeight="1" x14ac:dyDescent="0.25">
      <c r="A200" s="114"/>
    </row>
    <row r="201" spans="1:1" ht="15.75" customHeight="1" x14ac:dyDescent="0.25">
      <c r="A201" s="114"/>
    </row>
    <row r="202" spans="1:1" ht="15.75" customHeight="1" x14ac:dyDescent="0.25">
      <c r="A202" s="114"/>
    </row>
    <row r="203" spans="1:1" ht="15.75" customHeight="1" x14ac:dyDescent="0.25">
      <c r="A203" s="114"/>
    </row>
    <row r="204" spans="1:1" ht="15.75" customHeight="1" x14ac:dyDescent="0.25">
      <c r="A204" s="114"/>
    </row>
    <row r="205" spans="1:1" ht="15.75" customHeight="1" x14ac:dyDescent="0.25">
      <c r="A205" s="114"/>
    </row>
    <row r="206" spans="1:1" ht="15.75" customHeight="1" x14ac:dyDescent="0.25">
      <c r="A206" s="114"/>
    </row>
    <row r="207" spans="1:1" ht="15.75" customHeight="1" x14ac:dyDescent="0.25">
      <c r="A207" s="114"/>
    </row>
    <row r="208" spans="1:1" ht="15.75" customHeight="1" x14ac:dyDescent="0.25">
      <c r="A208" s="114"/>
    </row>
    <row r="209" spans="1:1" ht="15.75" customHeight="1" x14ac:dyDescent="0.25">
      <c r="A209" s="114"/>
    </row>
    <row r="210" spans="1:1" ht="15.75" customHeight="1" x14ac:dyDescent="0.25">
      <c r="A210" s="114"/>
    </row>
    <row r="211" spans="1:1" ht="15.75" customHeight="1" x14ac:dyDescent="0.25">
      <c r="A211" s="114"/>
    </row>
    <row r="212" spans="1:1" ht="15.75" customHeight="1" x14ac:dyDescent="0.25">
      <c r="A212" s="114"/>
    </row>
    <row r="213" spans="1:1" ht="15.75" customHeight="1" x14ac:dyDescent="0.25">
      <c r="A213" s="114"/>
    </row>
    <row r="214" spans="1:1" ht="15.75" customHeight="1" x14ac:dyDescent="0.25">
      <c r="A214" s="114"/>
    </row>
    <row r="215" spans="1:1" ht="15.75" customHeight="1" x14ac:dyDescent="0.25">
      <c r="A215" s="114"/>
    </row>
    <row r="216" spans="1:1" ht="15.75" customHeight="1" x14ac:dyDescent="0.25">
      <c r="A216" s="114"/>
    </row>
    <row r="217" spans="1:1" ht="15.75" customHeight="1" x14ac:dyDescent="0.25">
      <c r="A217" s="114"/>
    </row>
    <row r="218" spans="1:1" ht="15.75" customHeight="1" x14ac:dyDescent="0.25">
      <c r="A218" s="114"/>
    </row>
    <row r="219" spans="1:1" ht="15.75" customHeight="1" x14ac:dyDescent="0.25">
      <c r="A219" s="114"/>
    </row>
    <row r="220" spans="1:1" ht="15.75" customHeight="1" x14ac:dyDescent="0.25">
      <c r="A220" s="114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ustomSheetViews>
    <customSheetView guid="{CF798807-F6BF-423C-91BC-FD80E389EA82}" filter="1" showAutoFilter="1">
      <pageMargins left="0.7" right="0.7" top="0.75" bottom="0.75" header="0.3" footer="0.3"/>
      <autoFilter ref="A1:F18" xr:uid="{1B83DF32-9659-4561-83F1-238247D3CDE4}"/>
      <extLst>
        <ext uri="GoogleSheetsCustomDataVersion1">
          <go:sheetsCustomData xmlns:go="http://customooxmlschemas.google.com/" filterViewId="742741810"/>
        </ext>
      </extLst>
    </customSheetView>
  </customSheetViews>
  <dataValidations count="2">
    <dataValidation type="list" allowBlank="1" sqref="C2:C18" xr:uid="{00000000-0002-0000-0400-000000000000}">
      <formula1>"Laki-laki,Perempuan"</formula1>
    </dataValidation>
    <dataValidation type="custom" allowBlank="1" showDropDown="1" sqref="A2:A18" xr:uid="{00000000-0002-0000-0400-000001000000}"/>
  </dataValidation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1000"/>
  <sheetViews>
    <sheetView workbookViewId="0">
      <pane ySplit="1" topLeftCell="A6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2.6640625" customWidth="1"/>
    <col min="2" max="2" width="25.6640625" customWidth="1"/>
    <col min="3" max="3" width="14.109375" customWidth="1"/>
    <col min="4" max="4" width="24.88671875" customWidth="1"/>
    <col min="5" max="5" width="25.33203125" customWidth="1"/>
    <col min="6" max="6" width="24.44140625" customWidth="1"/>
    <col min="7" max="7" width="15.77734375" customWidth="1"/>
    <col min="8" max="8" width="29.21875" customWidth="1"/>
  </cols>
  <sheetData>
    <row r="1" spans="1:28" ht="22.5" customHeight="1" x14ac:dyDescent="0.25">
      <c r="A1" s="1" t="s">
        <v>0</v>
      </c>
      <c r="B1" s="3" t="s">
        <v>2</v>
      </c>
      <c r="C1" s="1" t="s">
        <v>3</v>
      </c>
      <c r="D1" s="3" t="s">
        <v>4</v>
      </c>
      <c r="E1" s="1" t="s">
        <v>6</v>
      </c>
      <c r="F1" s="1" t="s">
        <v>10</v>
      </c>
      <c r="G1" s="5" t="s">
        <v>1047</v>
      </c>
      <c r="H1" s="6" t="s">
        <v>1048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ht="22.5" customHeight="1" x14ac:dyDescent="0.25">
      <c r="A2" s="16">
        <v>1</v>
      </c>
      <c r="B2" s="46" t="s">
        <v>1053</v>
      </c>
      <c r="C2" s="44" t="s">
        <v>44</v>
      </c>
      <c r="D2" s="46" t="s">
        <v>1054</v>
      </c>
      <c r="E2" s="49"/>
      <c r="F2" s="49"/>
      <c r="G2" s="49" t="s">
        <v>1058</v>
      </c>
      <c r="H2" s="49" t="s">
        <v>1060</v>
      </c>
      <c r="I2" s="71"/>
      <c r="J2" s="78"/>
      <c r="K2" s="78"/>
      <c r="L2" s="78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</row>
    <row r="3" spans="1:28" ht="22.5" customHeight="1" x14ac:dyDescent="0.25">
      <c r="A3" s="42">
        <v>2</v>
      </c>
      <c r="B3" s="46" t="s">
        <v>1066</v>
      </c>
      <c r="C3" s="44" t="s">
        <v>20</v>
      </c>
      <c r="D3" s="46" t="s">
        <v>1069</v>
      </c>
      <c r="E3" s="49"/>
      <c r="F3" s="49"/>
      <c r="G3" s="49" t="s">
        <v>1071</v>
      </c>
      <c r="H3" s="49" t="s">
        <v>1072</v>
      </c>
      <c r="I3" s="71"/>
      <c r="J3" s="72"/>
      <c r="K3" s="72"/>
      <c r="L3" s="72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</row>
    <row r="4" spans="1:28" ht="22.5" customHeight="1" x14ac:dyDescent="0.25">
      <c r="A4" s="42">
        <v>3</v>
      </c>
      <c r="B4" s="46" t="s">
        <v>1076</v>
      </c>
      <c r="C4" s="44" t="s">
        <v>20</v>
      </c>
      <c r="D4" s="46" t="s">
        <v>1080</v>
      </c>
      <c r="E4" s="49"/>
      <c r="F4" s="49"/>
      <c r="G4" s="49" t="s">
        <v>1083</v>
      </c>
      <c r="H4" s="49" t="s">
        <v>1086</v>
      </c>
    </row>
    <row r="5" spans="1:28" ht="22.5" customHeight="1" x14ac:dyDescent="0.25">
      <c r="A5" s="42">
        <v>4</v>
      </c>
      <c r="B5" s="46" t="s">
        <v>1091</v>
      </c>
      <c r="C5" s="44" t="s">
        <v>20</v>
      </c>
      <c r="D5" s="46" t="s">
        <v>1094</v>
      </c>
      <c r="E5" s="49"/>
      <c r="F5" s="49"/>
      <c r="G5" s="49" t="s">
        <v>1096</v>
      </c>
      <c r="H5" s="49" t="s">
        <v>1097</v>
      </c>
    </row>
    <row r="6" spans="1:28" ht="22.5" customHeight="1" x14ac:dyDescent="0.25">
      <c r="A6" s="42">
        <v>5</v>
      </c>
      <c r="B6" s="46" t="s">
        <v>1099</v>
      </c>
      <c r="C6" s="44" t="s">
        <v>44</v>
      </c>
      <c r="D6" s="46" t="s">
        <v>1102</v>
      </c>
      <c r="E6" s="49"/>
      <c r="F6" s="49"/>
      <c r="G6" s="49" t="s">
        <v>1104</v>
      </c>
      <c r="H6" s="49" t="s">
        <v>1105</v>
      </c>
    </row>
    <row r="7" spans="1:28" ht="22.5" customHeight="1" x14ac:dyDescent="0.25">
      <c r="A7" s="42">
        <v>6</v>
      </c>
      <c r="B7" s="46" t="s">
        <v>1107</v>
      </c>
      <c r="C7" s="44" t="s">
        <v>20</v>
      </c>
      <c r="D7" s="46" t="s">
        <v>1110</v>
      </c>
      <c r="E7" s="49"/>
      <c r="F7" s="49"/>
      <c r="G7" s="49" t="s">
        <v>1114</v>
      </c>
      <c r="H7" s="49" t="s">
        <v>1117</v>
      </c>
    </row>
    <row r="8" spans="1:28" ht="22.5" customHeight="1" x14ac:dyDescent="0.25">
      <c r="A8" s="42">
        <v>7</v>
      </c>
      <c r="B8" s="46" t="s">
        <v>1120</v>
      </c>
      <c r="C8" s="44" t="s">
        <v>44</v>
      </c>
      <c r="D8" s="46" t="s">
        <v>1122</v>
      </c>
      <c r="E8" s="49"/>
      <c r="F8" s="49"/>
      <c r="G8" s="49" t="s">
        <v>1125</v>
      </c>
      <c r="H8" s="49" t="s">
        <v>1128</v>
      </c>
    </row>
    <row r="9" spans="1:28" ht="22.5" customHeight="1" x14ac:dyDescent="0.25">
      <c r="A9" s="42">
        <v>8</v>
      </c>
      <c r="B9" s="46" t="s">
        <v>1131</v>
      </c>
      <c r="C9" s="44" t="s">
        <v>44</v>
      </c>
      <c r="D9" s="46" t="s">
        <v>1135</v>
      </c>
      <c r="E9" s="49"/>
      <c r="F9" s="49"/>
      <c r="G9" s="50" t="s">
        <v>1140</v>
      </c>
      <c r="H9" s="50" t="s">
        <v>1141</v>
      </c>
    </row>
    <row r="10" spans="1:28" ht="22.5" customHeight="1" x14ac:dyDescent="0.25">
      <c r="A10" s="42">
        <v>9</v>
      </c>
      <c r="B10" s="46" t="s">
        <v>1145</v>
      </c>
      <c r="C10" s="44" t="s">
        <v>20</v>
      </c>
      <c r="D10" s="46" t="s">
        <v>1146</v>
      </c>
      <c r="E10" s="49"/>
      <c r="F10" s="49"/>
      <c r="G10" s="50" t="s">
        <v>1153</v>
      </c>
      <c r="H10" s="50" t="s">
        <v>1155</v>
      </c>
    </row>
    <row r="11" spans="1:28" ht="22.5" customHeight="1" x14ac:dyDescent="0.25">
      <c r="A11" s="42">
        <v>10</v>
      </c>
      <c r="B11" s="46" t="s">
        <v>1160</v>
      </c>
      <c r="C11" s="44" t="s">
        <v>44</v>
      </c>
      <c r="D11" s="46" t="s">
        <v>1163</v>
      </c>
      <c r="E11" s="49"/>
      <c r="F11" s="49"/>
      <c r="G11" s="50" t="s">
        <v>1167</v>
      </c>
      <c r="H11" s="50" t="s">
        <v>1170</v>
      </c>
    </row>
    <row r="12" spans="1:28" ht="22.5" customHeight="1" x14ac:dyDescent="0.25">
      <c r="A12" s="42">
        <v>11</v>
      </c>
      <c r="B12" s="46" t="s">
        <v>1174</v>
      </c>
      <c r="C12" s="44" t="s">
        <v>20</v>
      </c>
      <c r="D12" s="46" t="s">
        <v>1176</v>
      </c>
      <c r="E12" s="49"/>
      <c r="F12" s="49"/>
      <c r="G12" s="50" t="s">
        <v>1180</v>
      </c>
      <c r="H12" s="50" t="s">
        <v>1181</v>
      </c>
    </row>
    <row r="13" spans="1:28" ht="22.5" customHeight="1" x14ac:dyDescent="0.25">
      <c r="A13" s="42">
        <v>12</v>
      </c>
      <c r="B13" s="46" t="s">
        <v>1186</v>
      </c>
      <c r="C13" s="44" t="s">
        <v>44</v>
      </c>
      <c r="D13" s="46" t="s">
        <v>1189</v>
      </c>
      <c r="E13" s="49"/>
      <c r="F13" s="49"/>
      <c r="G13" s="50" t="s">
        <v>1192</v>
      </c>
      <c r="H13" s="50" t="s">
        <v>1196</v>
      </c>
    </row>
    <row r="14" spans="1:28" ht="22.5" customHeight="1" x14ac:dyDescent="0.25">
      <c r="A14" s="42">
        <v>13</v>
      </c>
      <c r="B14" s="46" t="s">
        <v>1201</v>
      </c>
      <c r="C14" s="44" t="s">
        <v>20</v>
      </c>
      <c r="D14" s="46" t="s">
        <v>1204</v>
      </c>
      <c r="E14" s="49"/>
      <c r="F14" s="49"/>
      <c r="G14" s="50" t="s">
        <v>1207</v>
      </c>
      <c r="H14" s="50" t="s">
        <v>1209</v>
      </c>
    </row>
    <row r="15" spans="1:28" ht="22.5" customHeight="1" x14ac:dyDescent="0.25">
      <c r="A15" s="42">
        <v>14</v>
      </c>
      <c r="B15" s="46" t="s">
        <v>1211</v>
      </c>
      <c r="C15" s="44" t="s">
        <v>20</v>
      </c>
      <c r="D15" s="46" t="s">
        <v>1215</v>
      </c>
      <c r="E15" s="49"/>
      <c r="F15" s="49"/>
      <c r="G15" s="50" t="s">
        <v>1218</v>
      </c>
      <c r="H15" s="50" t="s">
        <v>1221</v>
      </c>
    </row>
    <row r="16" spans="1:28" ht="22.5" customHeight="1" x14ac:dyDescent="0.25">
      <c r="A16" s="42">
        <v>15</v>
      </c>
      <c r="B16" s="46" t="s">
        <v>1225</v>
      </c>
      <c r="C16" s="44" t="s">
        <v>44</v>
      </c>
      <c r="D16" s="46" t="s">
        <v>1227</v>
      </c>
      <c r="E16" s="49"/>
      <c r="F16" s="49"/>
      <c r="G16" s="50"/>
      <c r="H16" s="50"/>
    </row>
    <row r="17" spans="1:8" ht="22.5" customHeight="1" x14ac:dyDescent="0.25">
      <c r="A17" s="42">
        <v>16</v>
      </c>
      <c r="B17" s="46" t="s">
        <v>1238</v>
      </c>
      <c r="C17" s="44" t="s">
        <v>20</v>
      </c>
      <c r="D17" s="46" t="s">
        <v>1239</v>
      </c>
      <c r="E17" s="49"/>
      <c r="F17" s="49"/>
      <c r="G17" s="50" t="s">
        <v>1242</v>
      </c>
      <c r="H17" s="50" t="s">
        <v>1243</v>
      </c>
    </row>
    <row r="18" spans="1:8" ht="22.5" customHeight="1" x14ac:dyDescent="0.25">
      <c r="A18" s="42">
        <v>17</v>
      </c>
      <c r="B18" s="46" t="s">
        <v>1249</v>
      </c>
      <c r="C18" s="44" t="s">
        <v>44</v>
      </c>
      <c r="D18" s="46" t="s">
        <v>1239</v>
      </c>
      <c r="E18" s="49"/>
      <c r="F18" s="49"/>
      <c r="G18" s="50" t="s">
        <v>1255</v>
      </c>
      <c r="H18" s="50" t="s">
        <v>1257</v>
      </c>
    </row>
    <row r="19" spans="1:8" ht="22.5" customHeight="1" x14ac:dyDescent="0.25">
      <c r="A19" s="42">
        <v>18</v>
      </c>
      <c r="B19" s="46" t="s">
        <v>1260</v>
      </c>
      <c r="C19" s="44" t="s">
        <v>20</v>
      </c>
      <c r="D19" s="46" t="s">
        <v>1263</v>
      </c>
      <c r="E19" s="49"/>
      <c r="F19" s="49"/>
      <c r="G19" s="50" t="s">
        <v>1267</v>
      </c>
      <c r="H19" s="50" t="s">
        <v>1269</v>
      </c>
    </row>
    <row r="20" spans="1:8" ht="22.5" customHeight="1" x14ac:dyDescent="0.25">
      <c r="A20" s="42">
        <v>19</v>
      </c>
      <c r="B20" s="46" t="s">
        <v>1273</v>
      </c>
      <c r="C20" s="44" t="s">
        <v>20</v>
      </c>
      <c r="D20" s="46" t="s">
        <v>1275</v>
      </c>
      <c r="E20" s="49"/>
      <c r="F20" s="49"/>
      <c r="G20" s="50" t="s">
        <v>1278</v>
      </c>
      <c r="H20" s="50" t="s">
        <v>1279</v>
      </c>
    </row>
    <row r="21" spans="1:8" ht="22.5" customHeight="1" x14ac:dyDescent="0.25">
      <c r="A21" s="42">
        <v>20</v>
      </c>
      <c r="B21" s="46" t="s">
        <v>1285</v>
      </c>
      <c r="C21" s="44" t="s">
        <v>20</v>
      </c>
      <c r="D21" s="46" t="s">
        <v>1289</v>
      </c>
      <c r="E21" s="49"/>
      <c r="F21" s="49"/>
      <c r="G21" s="50" t="s">
        <v>1292</v>
      </c>
      <c r="H21" s="50" t="s">
        <v>1294</v>
      </c>
    </row>
    <row r="22" spans="1:8" ht="22.5" customHeight="1" x14ac:dyDescent="0.25">
      <c r="A22" s="42">
        <v>21</v>
      </c>
      <c r="B22" s="46" t="s">
        <v>1298</v>
      </c>
      <c r="C22" s="44" t="s">
        <v>20</v>
      </c>
      <c r="D22" s="46" t="s">
        <v>1301</v>
      </c>
      <c r="E22" s="49"/>
      <c r="F22" s="49"/>
      <c r="G22" s="50" t="s">
        <v>1305</v>
      </c>
      <c r="H22" s="50" t="s">
        <v>1306</v>
      </c>
    </row>
    <row r="23" spans="1:8" ht="22.5" customHeight="1" x14ac:dyDescent="0.25">
      <c r="A23" s="42">
        <v>22</v>
      </c>
      <c r="B23" s="46" t="s">
        <v>1310</v>
      </c>
      <c r="C23" s="44" t="s">
        <v>20</v>
      </c>
      <c r="D23" s="46" t="s">
        <v>1312</v>
      </c>
      <c r="E23" s="49"/>
      <c r="F23" s="49"/>
      <c r="G23" s="50" t="s">
        <v>1316</v>
      </c>
      <c r="H23" s="50" t="s">
        <v>1319</v>
      </c>
    </row>
    <row r="24" spans="1:8" ht="22.5" customHeight="1" x14ac:dyDescent="0.25">
      <c r="A24" s="42">
        <v>23</v>
      </c>
      <c r="B24" s="46" t="s">
        <v>1323</v>
      </c>
      <c r="C24" s="44" t="s">
        <v>44</v>
      </c>
      <c r="D24" s="46" t="s">
        <v>1324</v>
      </c>
      <c r="E24" s="49"/>
      <c r="F24" s="49"/>
      <c r="G24" s="50" t="s">
        <v>1328</v>
      </c>
      <c r="H24" s="50" t="s">
        <v>1331</v>
      </c>
    </row>
    <row r="25" spans="1:8" ht="22.5" customHeight="1" x14ac:dyDescent="0.25">
      <c r="A25" s="42">
        <v>24</v>
      </c>
      <c r="B25" s="46" t="s">
        <v>1335</v>
      </c>
      <c r="C25" s="44" t="s">
        <v>20</v>
      </c>
      <c r="D25" s="46" t="s">
        <v>1338</v>
      </c>
      <c r="E25" s="49"/>
      <c r="F25" s="49"/>
      <c r="G25" s="50" t="s">
        <v>1341</v>
      </c>
      <c r="H25" s="50" t="s">
        <v>1343</v>
      </c>
    </row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ustomSheetViews>
    <customSheetView guid="{F24C4C7B-609A-4422-AD6C-505B21FC971E}" filter="1" showAutoFilter="1">
      <pageMargins left="0.7" right="0.7" top="0.75" bottom="0.75" header="0.3" footer="0.3"/>
      <autoFilter ref="A1:H25" xr:uid="{DD1848F0-4708-4397-9A1D-E68C39AC8F9F}"/>
      <extLst>
        <ext uri="GoogleSheetsCustomDataVersion1">
          <go:sheetsCustomData xmlns:go="http://customooxmlschemas.google.com/" filterViewId="1824921461"/>
        </ext>
      </extLst>
    </customSheetView>
  </customSheetViews>
  <dataValidations count="3">
    <dataValidation type="list" allowBlank="1" sqref="C2:C25" xr:uid="{00000000-0002-0000-0500-000000000000}">
      <formula1>"Laki-laki,Perempuan"</formula1>
    </dataValidation>
    <dataValidation allowBlank="1" showDropDown="1" sqref="G2:H25" xr:uid="{00000000-0002-0000-0500-000001000000}"/>
    <dataValidation type="custom" allowBlank="1" showDropDown="1" sqref="A2:A25 F2:F25" xr:uid="{00000000-0002-0000-0500-000002000000}"/>
  </dataValidation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00"/>
  <sheetViews>
    <sheetView workbookViewId="0">
      <pane ySplit="1" topLeftCell="A66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2.6640625" customWidth="1"/>
    <col min="2" max="2" width="25.6640625" customWidth="1"/>
    <col min="3" max="3" width="17.109375" customWidth="1"/>
    <col min="4" max="4" width="47.77734375" customWidth="1"/>
    <col min="5" max="5" width="25.33203125" hidden="1" customWidth="1"/>
    <col min="6" max="6" width="24.44140625" hidden="1" customWidth="1"/>
    <col min="7" max="7" width="25.33203125" customWidth="1"/>
    <col min="8" max="8" width="21.33203125" customWidth="1"/>
  </cols>
  <sheetData>
    <row r="1" spans="1:10" ht="22.5" customHeight="1" x14ac:dyDescent="0.25">
      <c r="A1" s="116" t="s">
        <v>0</v>
      </c>
      <c r="B1" s="117" t="s">
        <v>2</v>
      </c>
      <c r="C1" s="116" t="s">
        <v>3</v>
      </c>
      <c r="D1" s="117" t="s">
        <v>4</v>
      </c>
      <c r="E1" s="116" t="s">
        <v>6</v>
      </c>
      <c r="F1" s="116" t="s">
        <v>10</v>
      </c>
      <c r="G1" s="6" t="s">
        <v>13</v>
      </c>
      <c r="H1" s="5" t="s">
        <v>16</v>
      </c>
    </row>
    <row r="2" spans="1:10" ht="22.5" customHeight="1" x14ac:dyDescent="0.25">
      <c r="A2" s="16">
        <v>1</v>
      </c>
      <c r="B2" s="19" t="s">
        <v>1079</v>
      </c>
      <c r="C2" s="19" t="s">
        <v>44</v>
      </c>
      <c r="D2" s="19" t="s">
        <v>1082</v>
      </c>
      <c r="E2" s="145" t="s">
        <v>1084</v>
      </c>
      <c r="F2" s="39" t="s">
        <v>1087</v>
      </c>
      <c r="G2" s="146" t="s">
        <v>1089</v>
      </c>
      <c r="H2" s="146" t="s">
        <v>1092</v>
      </c>
      <c r="J2" s="147" t="s">
        <v>1095</v>
      </c>
    </row>
    <row r="3" spans="1:10" ht="22.5" customHeight="1" x14ac:dyDescent="0.25">
      <c r="A3" s="42">
        <v>2</v>
      </c>
      <c r="B3" s="145" t="s">
        <v>1106</v>
      </c>
      <c r="C3" s="145" t="s">
        <v>44</v>
      </c>
      <c r="D3" s="145" t="s">
        <v>1109</v>
      </c>
      <c r="E3" s="19" t="s">
        <v>1112</v>
      </c>
      <c r="F3" s="148" t="s">
        <v>1115</v>
      </c>
      <c r="G3" s="146" t="s">
        <v>1089</v>
      </c>
      <c r="H3" s="146" t="s">
        <v>1092</v>
      </c>
    </row>
    <row r="4" spans="1:10" ht="22.5" customHeight="1" x14ac:dyDescent="0.25">
      <c r="A4" s="16">
        <v>3</v>
      </c>
      <c r="B4" s="19" t="s">
        <v>1123</v>
      </c>
      <c r="C4" s="19" t="s">
        <v>44</v>
      </c>
      <c r="D4" s="19" t="s">
        <v>1109</v>
      </c>
      <c r="E4" s="145" t="s">
        <v>1127</v>
      </c>
      <c r="F4" s="39" t="s">
        <v>1129</v>
      </c>
      <c r="G4" s="146" t="s">
        <v>1089</v>
      </c>
      <c r="H4" s="146" t="s">
        <v>1092</v>
      </c>
    </row>
    <row r="5" spans="1:10" ht="22.5" customHeight="1" x14ac:dyDescent="0.25">
      <c r="A5" s="42">
        <v>4</v>
      </c>
      <c r="B5" s="145" t="s">
        <v>1134</v>
      </c>
      <c r="C5" s="145" t="s">
        <v>44</v>
      </c>
      <c r="D5" s="145" t="s">
        <v>1136</v>
      </c>
      <c r="E5" s="19" t="s">
        <v>1137</v>
      </c>
      <c r="F5" s="148" t="s">
        <v>1138</v>
      </c>
      <c r="G5" s="146" t="s">
        <v>1089</v>
      </c>
      <c r="H5" s="146" t="s">
        <v>1092</v>
      </c>
    </row>
    <row r="6" spans="1:10" ht="22.5" customHeight="1" x14ac:dyDescent="0.25">
      <c r="A6" s="16">
        <v>5</v>
      </c>
      <c r="B6" s="149" t="s">
        <v>1143</v>
      </c>
      <c r="C6" s="149" t="s">
        <v>20</v>
      </c>
      <c r="D6" s="150" t="s">
        <v>1147</v>
      </c>
      <c r="E6" s="145" t="s">
        <v>1148</v>
      </c>
      <c r="F6" s="151" t="s">
        <v>1149</v>
      </c>
      <c r="G6" s="146" t="s">
        <v>1151</v>
      </c>
      <c r="H6" s="146" t="s">
        <v>1152</v>
      </c>
    </row>
    <row r="7" spans="1:10" ht="22.5" customHeight="1" x14ac:dyDescent="0.25">
      <c r="A7" s="42">
        <v>6</v>
      </c>
      <c r="B7" s="149" t="s">
        <v>1158</v>
      </c>
      <c r="C7" s="149" t="s">
        <v>20</v>
      </c>
      <c r="D7" s="150" t="s">
        <v>1162</v>
      </c>
      <c r="E7" s="19" t="s">
        <v>1164</v>
      </c>
      <c r="F7" s="151" t="s">
        <v>1165</v>
      </c>
      <c r="G7" s="146" t="s">
        <v>1166</v>
      </c>
      <c r="H7" s="146" t="s">
        <v>1168</v>
      </c>
    </row>
    <row r="8" spans="1:10" ht="22.5" customHeight="1" x14ac:dyDescent="0.25">
      <c r="A8" s="16">
        <v>7</v>
      </c>
      <c r="B8" s="152" t="s">
        <v>1172</v>
      </c>
      <c r="C8" s="153" t="s">
        <v>44</v>
      </c>
      <c r="D8" s="152" t="s">
        <v>1178</v>
      </c>
      <c r="E8" s="145" t="s">
        <v>1148</v>
      </c>
      <c r="F8" s="154" t="s">
        <v>1182</v>
      </c>
      <c r="G8" s="146" t="s">
        <v>1183</v>
      </c>
      <c r="H8" s="146" t="s">
        <v>1185</v>
      </c>
    </row>
    <row r="9" spans="1:10" ht="22.5" customHeight="1" x14ac:dyDescent="0.25">
      <c r="A9" s="42">
        <v>8</v>
      </c>
      <c r="B9" s="155" t="s">
        <v>1190</v>
      </c>
      <c r="C9" s="156" t="s">
        <v>44</v>
      </c>
      <c r="D9" s="155" t="s">
        <v>1195</v>
      </c>
      <c r="E9" s="19" t="s">
        <v>1197</v>
      </c>
      <c r="F9" s="157" t="s">
        <v>1198</v>
      </c>
      <c r="G9" s="146" t="s">
        <v>1200</v>
      </c>
      <c r="H9" s="146" t="s">
        <v>1203</v>
      </c>
    </row>
    <row r="10" spans="1:10" ht="22.5" customHeight="1" x14ac:dyDescent="0.25">
      <c r="A10" s="16">
        <v>9</v>
      </c>
      <c r="B10" s="152" t="s">
        <v>1208</v>
      </c>
      <c r="C10" s="153" t="s">
        <v>44</v>
      </c>
      <c r="D10" s="152" t="s">
        <v>1178</v>
      </c>
      <c r="E10" s="145" t="s">
        <v>1210</v>
      </c>
      <c r="F10" s="154" t="s">
        <v>1212</v>
      </c>
      <c r="G10" s="146" t="s">
        <v>1213</v>
      </c>
      <c r="H10" s="146" t="s">
        <v>1216</v>
      </c>
    </row>
    <row r="11" spans="1:10" ht="22.5" customHeight="1" x14ac:dyDescent="0.25">
      <c r="A11" s="42">
        <v>10</v>
      </c>
      <c r="B11" s="145" t="s">
        <v>1220</v>
      </c>
      <c r="C11" s="145" t="s">
        <v>20</v>
      </c>
      <c r="D11" s="145" t="s">
        <v>1222</v>
      </c>
      <c r="E11" s="19" t="s">
        <v>1224</v>
      </c>
      <c r="F11" s="148" t="s">
        <v>1226</v>
      </c>
      <c r="G11" s="146" t="s">
        <v>1089</v>
      </c>
      <c r="H11" s="146" t="s">
        <v>1092</v>
      </c>
    </row>
    <row r="12" spans="1:10" ht="22.5" customHeight="1" x14ac:dyDescent="0.25">
      <c r="A12" s="16">
        <v>11</v>
      </c>
      <c r="B12" s="19" t="s">
        <v>1228</v>
      </c>
      <c r="C12" s="19" t="s">
        <v>20</v>
      </c>
      <c r="D12" s="19" t="s">
        <v>1230</v>
      </c>
      <c r="E12" s="145" t="s">
        <v>1232</v>
      </c>
      <c r="F12" s="39" t="s">
        <v>1234</v>
      </c>
      <c r="G12" s="146" t="s">
        <v>1235</v>
      </c>
      <c r="H12" s="146" t="s">
        <v>1236</v>
      </c>
    </row>
    <row r="13" spans="1:10" ht="22.5" customHeight="1" x14ac:dyDescent="0.25">
      <c r="A13" s="42">
        <v>12</v>
      </c>
      <c r="B13" s="145" t="s">
        <v>1240</v>
      </c>
      <c r="C13" s="145" t="s">
        <v>20</v>
      </c>
      <c r="D13" s="145" t="s">
        <v>1241</v>
      </c>
      <c r="E13" s="19" t="s">
        <v>1232</v>
      </c>
      <c r="F13" s="148" t="s">
        <v>1244</v>
      </c>
      <c r="G13" s="146" t="s">
        <v>1246</v>
      </c>
      <c r="H13" s="146" t="s">
        <v>1247</v>
      </c>
    </row>
    <row r="14" spans="1:10" ht="22.5" customHeight="1" x14ac:dyDescent="0.25">
      <c r="A14" s="16">
        <v>13</v>
      </c>
      <c r="B14" s="19" t="s">
        <v>1251</v>
      </c>
      <c r="C14" s="19" t="s">
        <v>20</v>
      </c>
      <c r="D14" s="19" t="s">
        <v>1253</v>
      </c>
      <c r="E14" s="145" t="s">
        <v>1254</v>
      </c>
      <c r="F14" s="39" t="s">
        <v>1256</v>
      </c>
      <c r="G14" s="146" t="s">
        <v>1258</v>
      </c>
      <c r="H14" s="146" t="s">
        <v>1259</v>
      </c>
    </row>
    <row r="15" spans="1:10" ht="22.5" customHeight="1" x14ac:dyDescent="0.25">
      <c r="A15" s="42">
        <v>14</v>
      </c>
      <c r="B15" s="145" t="s">
        <v>1262</v>
      </c>
      <c r="C15" s="145" t="s">
        <v>20</v>
      </c>
      <c r="D15" s="145" t="s">
        <v>1265</v>
      </c>
      <c r="E15" s="158" t="s">
        <v>1268</v>
      </c>
      <c r="F15" s="148" t="s">
        <v>1271</v>
      </c>
      <c r="G15" s="146" t="s">
        <v>1272</v>
      </c>
      <c r="H15" s="146" t="s">
        <v>1274</v>
      </c>
    </row>
    <row r="16" spans="1:10" ht="22.5" customHeight="1" x14ac:dyDescent="0.25">
      <c r="A16" s="16">
        <v>15</v>
      </c>
      <c r="B16" s="19" t="s">
        <v>1276</v>
      </c>
      <c r="C16" s="19" t="s">
        <v>44</v>
      </c>
      <c r="D16" s="19" t="s">
        <v>1280</v>
      </c>
      <c r="E16" s="19" t="s">
        <v>1282</v>
      </c>
      <c r="F16" s="39" t="s">
        <v>1284</v>
      </c>
      <c r="G16" s="146" t="s">
        <v>1286</v>
      </c>
      <c r="H16" s="146" t="s">
        <v>1288</v>
      </c>
    </row>
    <row r="17" spans="1:8" ht="22.5" customHeight="1" x14ac:dyDescent="0.25">
      <c r="A17" s="42">
        <v>16</v>
      </c>
      <c r="B17" s="145" t="s">
        <v>1293</v>
      </c>
      <c r="C17" s="145" t="s">
        <v>44</v>
      </c>
      <c r="D17" s="145" t="s">
        <v>1295</v>
      </c>
      <c r="E17" s="145" t="s">
        <v>1297</v>
      </c>
      <c r="F17" s="148" t="s">
        <v>1299</v>
      </c>
      <c r="G17" s="146" t="s">
        <v>1300</v>
      </c>
      <c r="H17" s="146" t="s">
        <v>1302</v>
      </c>
    </row>
    <row r="18" spans="1:8" ht="22.5" customHeight="1" x14ac:dyDescent="0.25">
      <c r="A18" s="16">
        <v>17</v>
      </c>
      <c r="B18" s="19" t="s">
        <v>1309</v>
      </c>
      <c r="C18" s="19" t="s">
        <v>44</v>
      </c>
      <c r="D18" s="19" t="s">
        <v>1311</v>
      </c>
      <c r="E18" s="19" t="s">
        <v>1313</v>
      </c>
      <c r="F18" s="39" t="s">
        <v>1315</v>
      </c>
      <c r="G18" s="146" t="s">
        <v>1317</v>
      </c>
      <c r="H18" s="146" t="s">
        <v>1318</v>
      </c>
    </row>
    <row r="19" spans="1:8" ht="22.5" customHeight="1" x14ac:dyDescent="0.25">
      <c r="A19" s="42">
        <v>18</v>
      </c>
      <c r="B19" s="145" t="s">
        <v>1322</v>
      </c>
      <c r="C19" s="145" t="s">
        <v>20</v>
      </c>
      <c r="D19" s="145" t="s">
        <v>1325</v>
      </c>
      <c r="E19" s="145" t="s">
        <v>1326</v>
      </c>
      <c r="F19" s="148" t="s">
        <v>1327</v>
      </c>
      <c r="G19" s="146" t="s">
        <v>1330</v>
      </c>
      <c r="H19" s="146" t="s">
        <v>1332</v>
      </c>
    </row>
    <row r="20" spans="1:8" ht="22.5" customHeight="1" x14ac:dyDescent="0.25">
      <c r="A20" s="16">
        <v>19</v>
      </c>
      <c r="B20" s="155" t="s">
        <v>1337</v>
      </c>
      <c r="C20" s="156" t="s">
        <v>44</v>
      </c>
      <c r="D20" s="155" t="s">
        <v>1342</v>
      </c>
      <c r="E20" s="19" t="s">
        <v>1344</v>
      </c>
      <c r="F20" s="157" t="s">
        <v>1345</v>
      </c>
      <c r="G20" s="146" t="s">
        <v>1347</v>
      </c>
      <c r="H20" s="146" t="s">
        <v>1348</v>
      </c>
    </row>
    <row r="21" spans="1:8" ht="22.5" customHeight="1" x14ac:dyDescent="0.25">
      <c r="A21" s="42">
        <v>20</v>
      </c>
      <c r="B21" s="145" t="s">
        <v>1352</v>
      </c>
      <c r="C21" s="145" t="s">
        <v>44</v>
      </c>
      <c r="D21" s="145" t="s">
        <v>1355</v>
      </c>
      <c r="E21" s="145" t="s">
        <v>1356</v>
      </c>
      <c r="F21" s="148" t="s">
        <v>1357</v>
      </c>
      <c r="G21" s="146" t="s">
        <v>1358</v>
      </c>
      <c r="H21" s="146" t="s">
        <v>1360</v>
      </c>
    </row>
    <row r="22" spans="1:8" ht="22.5" customHeight="1" x14ac:dyDescent="0.25">
      <c r="A22" s="16">
        <v>21</v>
      </c>
      <c r="B22" s="19" t="s">
        <v>1363</v>
      </c>
      <c r="C22" s="19" t="s">
        <v>20</v>
      </c>
      <c r="D22" s="19" t="s">
        <v>1365</v>
      </c>
      <c r="E22" s="19" t="s">
        <v>1367</v>
      </c>
      <c r="F22" s="39" t="s">
        <v>1369</v>
      </c>
      <c r="G22" s="146" t="s">
        <v>1370</v>
      </c>
      <c r="H22" s="146" t="s">
        <v>1371</v>
      </c>
    </row>
    <row r="23" spans="1:8" ht="22.5" customHeight="1" x14ac:dyDescent="0.25">
      <c r="A23" s="42">
        <v>22</v>
      </c>
      <c r="B23" s="145" t="s">
        <v>1373</v>
      </c>
      <c r="C23" s="145" t="s">
        <v>20</v>
      </c>
      <c r="D23" s="145" t="s">
        <v>1375</v>
      </c>
      <c r="E23" s="145" t="s">
        <v>1376</v>
      </c>
      <c r="F23" s="148" t="s">
        <v>1378</v>
      </c>
      <c r="G23" s="146" t="s">
        <v>1379</v>
      </c>
      <c r="H23" s="146" t="s">
        <v>1380</v>
      </c>
    </row>
    <row r="24" spans="1:8" ht="22.5" customHeight="1" x14ac:dyDescent="0.25">
      <c r="A24" s="16">
        <v>23</v>
      </c>
      <c r="B24" s="19" t="s">
        <v>1381</v>
      </c>
      <c r="C24" s="19" t="s">
        <v>20</v>
      </c>
      <c r="D24" s="19" t="s">
        <v>1383</v>
      </c>
      <c r="E24" s="19" t="s">
        <v>1386</v>
      </c>
      <c r="F24" s="39" t="s">
        <v>1387</v>
      </c>
      <c r="G24" s="146" t="s">
        <v>1389</v>
      </c>
      <c r="H24" s="146" t="s">
        <v>1391</v>
      </c>
    </row>
    <row r="25" spans="1:8" ht="22.5" customHeight="1" x14ac:dyDescent="0.25">
      <c r="A25" s="42">
        <v>24</v>
      </c>
      <c r="B25" s="145" t="s">
        <v>1393</v>
      </c>
      <c r="C25" s="145" t="s">
        <v>44</v>
      </c>
      <c r="D25" s="145" t="s">
        <v>1395</v>
      </c>
      <c r="E25" s="145" t="s">
        <v>1396</v>
      </c>
      <c r="F25" s="148" t="s">
        <v>1397</v>
      </c>
      <c r="G25" s="146" t="s">
        <v>1399</v>
      </c>
      <c r="H25" s="146" t="s">
        <v>1400</v>
      </c>
    </row>
    <row r="26" spans="1:8" ht="22.5" customHeight="1" x14ac:dyDescent="0.25">
      <c r="A26" s="16">
        <v>25</v>
      </c>
      <c r="B26" s="19" t="s">
        <v>1402</v>
      </c>
      <c r="C26" s="19" t="s">
        <v>20</v>
      </c>
      <c r="D26" s="19" t="s">
        <v>1403</v>
      </c>
      <c r="E26" s="19" t="s">
        <v>1404</v>
      </c>
      <c r="F26" s="39" t="s">
        <v>1406</v>
      </c>
      <c r="G26" s="146" t="s">
        <v>1407</v>
      </c>
      <c r="H26" s="146" t="s">
        <v>1409</v>
      </c>
    </row>
    <row r="27" spans="1:8" ht="22.5" customHeight="1" x14ac:dyDescent="0.25">
      <c r="A27" s="42">
        <v>26</v>
      </c>
      <c r="B27" s="145" t="s">
        <v>1412</v>
      </c>
      <c r="C27" s="145" t="s">
        <v>20</v>
      </c>
      <c r="D27" s="145" t="s">
        <v>1415</v>
      </c>
      <c r="E27" s="145" t="s">
        <v>1416</v>
      </c>
      <c r="F27" s="148" t="s">
        <v>1417</v>
      </c>
      <c r="G27" s="146" t="s">
        <v>1418</v>
      </c>
      <c r="H27" s="146" t="s">
        <v>1420</v>
      </c>
    </row>
    <row r="28" spans="1:8" ht="22.5" customHeight="1" x14ac:dyDescent="0.25">
      <c r="A28" s="16">
        <v>27</v>
      </c>
      <c r="B28" s="19" t="s">
        <v>1421</v>
      </c>
      <c r="C28" s="19" t="s">
        <v>44</v>
      </c>
      <c r="D28" s="19" t="s">
        <v>5</v>
      </c>
      <c r="E28" s="19" t="s">
        <v>1423</v>
      </c>
      <c r="F28" s="39" t="s">
        <v>1425</v>
      </c>
      <c r="G28" s="146"/>
      <c r="H28" s="146"/>
    </row>
    <row r="29" spans="1:8" ht="22.5" customHeight="1" x14ac:dyDescent="0.25">
      <c r="A29" s="42">
        <v>28</v>
      </c>
      <c r="B29" s="145" t="s">
        <v>1412</v>
      </c>
      <c r="C29" s="145" t="s">
        <v>20</v>
      </c>
      <c r="D29" s="145" t="s">
        <v>1429</v>
      </c>
      <c r="E29" s="145" t="s">
        <v>1013</v>
      </c>
      <c r="F29" s="148" t="s">
        <v>1417</v>
      </c>
      <c r="G29" s="146" t="s">
        <v>1432</v>
      </c>
      <c r="H29" s="146" t="s">
        <v>1434</v>
      </c>
    </row>
    <row r="30" spans="1:8" ht="22.5" customHeight="1" x14ac:dyDescent="0.25">
      <c r="A30" s="16">
        <v>29</v>
      </c>
      <c r="B30" s="19" t="s">
        <v>1435</v>
      </c>
      <c r="C30" s="19" t="s">
        <v>20</v>
      </c>
      <c r="D30" s="19" t="s">
        <v>1437</v>
      </c>
      <c r="E30" s="19" t="s">
        <v>1374</v>
      </c>
      <c r="F30" s="39" t="s">
        <v>1440</v>
      </c>
      <c r="G30" s="146" t="s">
        <v>1441</v>
      </c>
      <c r="H30" s="146" t="s">
        <v>1442</v>
      </c>
    </row>
    <row r="31" spans="1:8" ht="22.5" customHeight="1" x14ac:dyDescent="0.25">
      <c r="A31" s="42">
        <v>30</v>
      </c>
      <c r="B31" s="145" t="s">
        <v>1444</v>
      </c>
      <c r="C31" s="145" t="s">
        <v>20</v>
      </c>
      <c r="D31" s="145" t="s">
        <v>1415</v>
      </c>
      <c r="E31" s="145" t="s">
        <v>1445</v>
      </c>
      <c r="F31" s="148" t="s">
        <v>1447</v>
      </c>
      <c r="G31" s="146" t="s">
        <v>1448</v>
      </c>
      <c r="H31" s="146" t="s">
        <v>1450</v>
      </c>
    </row>
    <row r="32" spans="1:8" ht="22.5" customHeight="1" x14ac:dyDescent="0.25">
      <c r="A32" s="16">
        <v>31</v>
      </c>
      <c r="B32" s="19" t="s">
        <v>1453</v>
      </c>
      <c r="C32" s="19" t="s">
        <v>20</v>
      </c>
      <c r="D32" s="19" t="s">
        <v>1415</v>
      </c>
      <c r="E32" s="19" t="s">
        <v>1456</v>
      </c>
      <c r="F32" s="39" t="s">
        <v>1457</v>
      </c>
      <c r="G32" s="146" t="s">
        <v>1458</v>
      </c>
      <c r="H32" s="146" t="s">
        <v>1459</v>
      </c>
    </row>
    <row r="33" spans="1:8" ht="22.5" customHeight="1" x14ac:dyDescent="0.25">
      <c r="A33" s="42">
        <v>32</v>
      </c>
      <c r="B33" s="145" t="s">
        <v>1463</v>
      </c>
      <c r="C33" s="145" t="s">
        <v>44</v>
      </c>
      <c r="D33" s="145" t="s">
        <v>1415</v>
      </c>
      <c r="E33" s="145" t="s">
        <v>1465</v>
      </c>
      <c r="F33" s="148" t="s">
        <v>1467</v>
      </c>
      <c r="G33" s="146" t="s">
        <v>1458</v>
      </c>
      <c r="H33" s="146" t="s">
        <v>1469</v>
      </c>
    </row>
    <row r="34" spans="1:8" ht="22.5" customHeight="1" x14ac:dyDescent="0.25">
      <c r="A34" s="16">
        <v>33</v>
      </c>
      <c r="B34" s="19" t="s">
        <v>1471</v>
      </c>
      <c r="C34" s="19" t="s">
        <v>44</v>
      </c>
      <c r="D34" s="19" t="s">
        <v>1415</v>
      </c>
      <c r="E34" s="19" t="s">
        <v>1473</v>
      </c>
      <c r="F34" s="39" t="s">
        <v>1467</v>
      </c>
      <c r="G34" s="146" t="s">
        <v>1475</v>
      </c>
      <c r="H34" s="146" t="s">
        <v>1477</v>
      </c>
    </row>
    <row r="35" spans="1:8" ht="22.5" customHeight="1" x14ac:dyDescent="0.25">
      <c r="A35" s="42">
        <v>34</v>
      </c>
      <c r="B35" s="145" t="s">
        <v>1480</v>
      </c>
      <c r="C35" s="145" t="s">
        <v>44</v>
      </c>
      <c r="D35" s="145" t="s">
        <v>1295</v>
      </c>
      <c r="E35" s="145" t="s">
        <v>1482</v>
      </c>
      <c r="F35" s="148" t="s">
        <v>1299</v>
      </c>
      <c r="G35" s="146" t="s">
        <v>1484</v>
      </c>
      <c r="H35" s="146" t="s">
        <v>1486</v>
      </c>
    </row>
    <row r="36" spans="1:8" ht="22.5" customHeight="1" x14ac:dyDescent="0.25">
      <c r="A36" s="16">
        <v>35</v>
      </c>
      <c r="B36" s="158" t="s">
        <v>1489</v>
      </c>
      <c r="C36" s="158" t="s">
        <v>44</v>
      </c>
      <c r="D36" s="158" t="s">
        <v>1429</v>
      </c>
      <c r="E36" s="19" t="s">
        <v>1491</v>
      </c>
      <c r="F36" s="159" t="s">
        <v>1492</v>
      </c>
      <c r="G36" s="146" t="s">
        <v>1494</v>
      </c>
      <c r="H36" s="146" t="s">
        <v>1496</v>
      </c>
    </row>
    <row r="37" spans="1:8" ht="22.5" customHeight="1" x14ac:dyDescent="0.25">
      <c r="A37" s="42">
        <v>36</v>
      </c>
      <c r="B37" s="19" t="s">
        <v>1499</v>
      </c>
      <c r="C37" s="19" t="s">
        <v>1501</v>
      </c>
      <c r="D37" s="19" t="s">
        <v>1503</v>
      </c>
      <c r="E37" s="145" t="s">
        <v>1504</v>
      </c>
      <c r="F37" s="39" t="s">
        <v>1505</v>
      </c>
      <c r="G37" s="146"/>
      <c r="H37" s="146"/>
    </row>
    <row r="38" spans="1:8" ht="22.5" customHeight="1" x14ac:dyDescent="0.25">
      <c r="A38" s="16">
        <v>37</v>
      </c>
      <c r="B38" s="145" t="s">
        <v>1507</v>
      </c>
      <c r="C38" s="145" t="s">
        <v>1509</v>
      </c>
      <c r="D38" s="145" t="s">
        <v>1510</v>
      </c>
      <c r="E38" s="19" t="s">
        <v>1512</v>
      </c>
      <c r="F38" s="148" t="s">
        <v>1514</v>
      </c>
      <c r="G38" s="146" t="s">
        <v>1516</v>
      </c>
      <c r="H38" s="146" t="s">
        <v>1517</v>
      </c>
    </row>
    <row r="39" spans="1:8" ht="22.5" customHeight="1" x14ac:dyDescent="0.25">
      <c r="A39" s="42">
        <v>38</v>
      </c>
      <c r="B39" s="19" t="s">
        <v>1519</v>
      </c>
      <c r="C39" s="19" t="s">
        <v>1501</v>
      </c>
      <c r="D39" s="19" t="s">
        <v>1520</v>
      </c>
      <c r="E39" s="145" t="s">
        <v>287</v>
      </c>
      <c r="F39" s="39" t="s">
        <v>1523</v>
      </c>
      <c r="G39" s="146" t="s">
        <v>1524</v>
      </c>
      <c r="H39" s="146" t="s">
        <v>1525</v>
      </c>
    </row>
    <row r="40" spans="1:8" ht="22.5" customHeight="1" x14ac:dyDescent="0.25">
      <c r="A40" s="16">
        <v>39</v>
      </c>
      <c r="B40" s="145" t="s">
        <v>1527</v>
      </c>
      <c r="C40" s="145" t="s">
        <v>1501</v>
      </c>
      <c r="D40" s="145" t="s">
        <v>1529</v>
      </c>
      <c r="E40" s="19" t="s">
        <v>310</v>
      </c>
      <c r="F40" s="148" t="s">
        <v>1531</v>
      </c>
      <c r="G40" s="146"/>
      <c r="H40" s="146"/>
    </row>
    <row r="41" spans="1:8" ht="22.5" customHeight="1" x14ac:dyDescent="0.25">
      <c r="A41" s="42">
        <v>40</v>
      </c>
      <c r="B41" s="19" t="s">
        <v>1535</v>
      </c>
      <c r="C41" s="19" t="s">
        <v>1509</v>
      </c>
      <c r="D41" s="19" t="s">
        <v>1537</v>
      </c>
      <c r="E41" s="145" t="s">
        <v>1540</v>
      </c>
      <c r="F41" s="19" t="s">
        <v>1543</v>
      </c>
      <c r="G41" s="146"/>
      <c r="H41" s="146"/>
    </row>
    <row r="42" spans="1:8" ht="22.5" customHeight="1" x14ac:dyDescent="0.25">
      <c r="A42" s="16">
        <v>41</v>
      </c>
      <c r="B42" s="145" t="s">
        <v>1548</v>
      </c>
      <c r="C42" s="145" t="s">
        <v>1549</v>
      </c>
      <c r="D42" s="145" t="s">
        <v>27</v>
      </c>
      <c r="E42" s="19" t="s">
        <v>1552</v>
      </c>
      <c r="F42" s="145" t="s">
        <v>1554</v>
      </c>
      <c r="G42" s="146"/>
      <c r="H42" s="146"/>
    </row>
    <row r="43" spans="1:8" ht="22.5" customHeight="1" x14ac:dyDescent="0.25">
      <c r="A43" s="42">
        <v>42</v>
      </c>
      <c r="B43" s="19" t="s">
        <v>1556</v>
      </c>
      <c r="C43" s="19" t="s">
        <v>1549</v>
      </c>
      <c r="D43" s="19" t="s">
        <v>27</v>
      </c>
      <c r="E43" s="145" t="s">
        <v>1559</v>
      </c>
      <c r="F43" s="39" t="s">
        <v>1561</v>
      </c>
      <c r="G43" s="146"/>
      <c r="H43" s="146"/>
    </row>
    <row r="44" spans="1:8" ht="22.5" customHeight="1" x14ac:dyDescent="0.25">
      <c r="A44" s="16">
        <v>43</v>
      </c>
      <c r="B44" s="145" t="s">
        <v>1563</v>
      </c>
      <c r="C44" s="145" t="s">
        <v>1501</v>
      </c>
      <c r="D44" s="145" t="s">
        <v>1564</v>
      </c>
      <c r="E44" s="19" t="s">
        <v>1566</v>
      </c>
      <c r="F44" s="145" t="s">
        <v>1567</v>
      </c>
      <c r="G44" s="146"/>
      <c r="H44" s="146"/>
    </row>
    <row r="45" spans="1:8" ht="22.5" customHeight="1" x14ac:dyDescent="0.25">
      <c r="A45" s="42">
        <v>44</v>
      </c>
      <c r="B45" s="19" t="s">
        <v>1569</v>
      </c>
      <c r="C45" s="19" t="s">
        <v>1549</v>
      </c>
      <c r="D45" s="19" t="s">
        <v>1572</v>
      </c>
      <c r="E45" s="145" t="s">
        <v>1574</v>
      </c>
      <c r="F45" s="39" t="s">
        <v>1577</v>
      </c>
      <c r="G45" s="146" t="s">
        <v>1580</v>
      </c>
      <c r="H45" s="146" t="s">
        <v>1582</v>
      </c>
    </row>
    <row r="46" spans="1:8" ht="22.5" customHeight="1" x14ac:dyDescent="0.25">
      <c r="A46" s="16">
        <v>45</v>
      </c>
      <c r="B46" s="145" t="s">
        <v>1588</v>
      </c>
      <c r="C46" s="145" t="s">
        <v>1509</v>
      </c>
      <c r="D46" s="145" t="s">
        <v>1591</v>
      </c>
      <c r="E46" s="19" t="s">
        <v>29</v>
      </c>
      <c r="F46" s="148" t="s">
        <v>1594</v>
      </c>
      <c r="G46" s="146" t="s">
        <v>1596</v>
      </c>
      <c r="H46" s="146" t="s">
        <v>1599</v>
      </c>
    </row>
    <row r="47" spans="1:8" ht="22.5" customHeight="1" x14ac:dyDescent="0.25">
      <c r="A47" s="42">
        <v>46</v>
      </c>
      <c r="B47" s="19" t="s">
        <v>1603</v>
      </c>
      <c r="C47" s="19" t="s">
        <v>1509</v>
      </c>
      <c r="D47" s="19" t="s">
        <v>1608</v>
      </c>
      <c r="E47" s="145" t="s">
        <v>1611</v>
      </c>
      <c r="F47" s="39" t="s">
        <v>1613</v>
      </c>
      <c r="G47" s="146" t="s">
        <v>1616</v>
      </c>
      <c r="H47" s="146" t="s">
        <v>1618</v>
      </c>
    </row>
    <row r="48" spans="1:8" ht="22.5" customHeight="1" x14ac:dyDescent="0.25">
      <c r="A48" s="16">
        <v>47</v>
      </c>
      <c r="B48" s="145" t="s">
        <v>1625</v>
      </c>
      <c r="C48" s="145" t="s">
        <v>1501</v>
      </c>
      <c r="D48" s="145" t="s">
        <v>1630</v>
      </c>
      <c r="E48" s="19" t="s">
        <v>1632</v>
      </c>
      <c r="F48" s="148" t="s">
        <v>1635</v>
      </c>
      <c r="G48" s="146"/>
      <c r="H48" s="146"/>
    </row>
    <row r="49" spans="1:8" ht="22.5" customHeight="1" x14ac:dyDescent="0.25">
      <c r="A49" s="42">
        <v>48</v>
      </c>
      <c r="B49" s="19" t="s">
        <v>1644</v>
      </c>
      <c r="C49" s="19" t="s">
        <v>1501</v>
      </c>
      <c r="D49" s="19" t="s">
        <v>1648</v>
      </c>
      <c r="E49" s="145" t="s">
        <v>1035</v>
      </c>
      <c r="F49" s="19" t="s">
        <v>1652</v>
      </c>
      <c r="G49" s="146" t="s">
        <v>1656</v>
      </c>
      <c r="H49" s="146" t="s">
        <v>1659</v>
      </c>
    </row>
    <row r="50" spans="1:8" ht="22.5" customHeight="1" x14ac:dyDescent="0.25">
      <c r="A50" s="16">
        <v>49</v>
      </c>
      <c r="B50" s="145" t="s">
        <v>1667</v>
      </c>
      <c r="C50" s="145" t="s">
        <v>1549</v>
      </c>
      <c r="D50" s="145" t="s">
        <v>815</v>
      </c>
      <c r="E50" s="19" t="s">
        <v>864</v>
      </c>
      <c r="F50" s="148" t="s">
        <v>1014</v>
      </c>
      <c r="G50" s="146" t="s">
        <v>1680</v>
      </c>
      <c r="H50" s="146" t="s">
        <v>1684</v>
      </c>
    </row>
    <row r="51" spans="1:8" ht="22.5" customHeight="1" x14ac:dyDescent="0.25">
      <c r="A51" s="42">
        <v>50</v>
      </c>
      <c r="B51" s="19" t="s">
        <v>1688</v>
      </c>
      <c r="C51" s="19" t="s">
        <v>1549</v>
      </c>
      <c r="D51" s="19" t="s">
        <v>914</v>
      </c>
      <c r="E51" s="145" t="s">
        <v>1695</v>
      </c>
      <c r="F51" s="39" t="s">
        <v>1377</v>
      </c>
      <c r="G51" s="146" t="s">
        <v>1700</v>
      </c>
      <c r="H51" s="146" t="s">
        <v>1702</v>
      </c>
    </row>
    <row r="52" spans="1:8" ht="22.5" customHeight="1" x14ac:dyDescent="0.25">
      <c r="A52" s="16">
        <v>51</v>
      </c>
      <c r="B52" s="145" t="s">
        <v>1708</v>
      </c>
      <c r="C52" s="145" t="s">
        <v>1710</v>
      </c>
      <c r="D52" s="145" t="s">
        <v>1715</v>
      </c>
      <c r="E52" s="19" t="s">
        <v>1704</v>
      </c>
      <c r="F52" s="148" t="s">
        <v>1720</v>
      </c>
      <c r="G52" s="146" t="s">
        <v>1721</v>
      </c>
      <c r="H52" s="146" t="s">
        <v>1725</v>
      </c>
    </row>
    <row r="53" spans="1:8" ht="22.5" customHeight="1" x14ac:dyDescent="0.25">
      <c r="A53" s="42">
        <v>52</v>
      </c>
      <c r="B53" s="19" t="s">
        <v>1729</v>
      </c>
      <c r="C53" s="19" t="s">
        <v>1501</v>
      </c>
      <c r="D53" s="19" t="s">
        <v>1732</v>
      </c>
      <c r="E53" s="145" t="s">
        <v>1734</v>
      </c>
      <c r="F53" s="39" t="s">
        <v>1737</v>
      </c>
      <c r="G53" s="146" t="s">
        <v>1740</v>
      </c>
      <c r="H53" s="146" t="s">
        <v>1742</v>
      </c>
    </row>
    <row r="54" spans="1:8" ht="22.5" customHeight="1" x14ac:dyDescent="0.25">
      <c r="A54" s="16">
        <v>53</v>
      </c>
      <c r="B54" s="145" t="s">
        <v>1746</v>
      </c>
      <c r="C54" s="145" t="s">
        <v>1501</v>
      </c>
      <c r="D54" s="145" t="s">
        <v>1751</v>
      </c>
      <c r="E54" s="19" t="s">
        <v>1753</v>
      </c>
      <c r="F54" s="148" t="s">
        <v>1755</v>
      </c>
      <c r="G54" s="146" t="s">
        <v>1740</v>
      </c>
      <c r="H54" s="146" t="s">
        <v>1742</v>
      </c>
    </row>
    <row r="55" spans="1:8" ht="22.5" customHeight="1" x14ac:dyDescent="0.25">
      <c r="A55" s="42">
        <v>54</v>
      </c>
      <c r="B55" s="19" t="s">
        <v>1763</v>
      </c>
      <c r="C55" s="19" t="s">
        <v>1509</v>
      </c>
      <c r="D55" s="19" t="s">
        <v>1768</v>
      </c>
      <c r="E55" s="145" t="s">
        <v>959</v>
      </c>
      <c r="F55" s="39" t="s">
        <v>1772</v>
      </c>
      <c r="G55" s="146" t="s">
        <v>1774</v>
      </c>
      <c r="H55" s="146" t="s">
        <v>1776</v>
      </c>
    </row>
    <row r="56" spans="1:8" ht="22.5" customHeight="1" x14ac:dyDescent="0.25">
      <c r="A56" s="16">
        <v>55</v>
      </c>
      <c r="B56" s="145" t="s">
        <v>1786</v>
      </c>
      <c r="C56" s="145" t="s">
        <v>1710</v>
      </c>
      <c r="D56" s="145" t="s">
        <v>1789</v>
      </c>
      <c r="E56" s="19" t="s">
        <v>1791</v>
      </c>
      <c r="F56" s="148" t="s">
        <v>1793</v>
      </c>
      <c r="G56" s="146" t="s">
        <v>1796</v>
      </c>
      <c r="H56" s="146" t="s">
        <v>1798</v>
      </c>
    </row>
    <row r="57" spans="1:8" ht="22.5" customHeight="1" x14ac:dyDescent="0.25">
      <c r="A57" s="42">
        <v>56</v>
      </c>
      <c r="B57" s="19" t="s">
        <v>1804</v>
      </c>
      <c r="C57" s="19" t="s">
        <v>1501</v>
      </c>
      <c r="D57" s="19" t="s">
        <v>1809</v>
      </c>
      <c r="E57" s="145" t="s">
        <v>1811</v>
      </c>
      <c r="F57" s="39" t="s">
        <v>1813</v>
      </c>
      <c r="G57" s="146" t="s">
        <v>1814</v>
      </c>
      <c r="H57" s="146" t="s">
        <v>1815</v>
      </c>
    </row>
    <row r="58" spans="1:8" ht="22.5" customHeight="1" x14ac:dyDescent="0.25">
      <c r="A58" s="16">
        <v>57</v>
      </c>
      <c r="B58" s="145" t="s">
        <v>1819</v>
      </c>
      <c r="C58" s="145" t="s">
        <v>1509</v>
      </c>
      <c r="D58" s="145" t="s">
        <v>27</v>
      </c>
      <c r="E58" s="19" t="s">
        <v>1823</v>
      </c>
      <c r="F58" s="148" t="s">
        <v>835</v>
      </c>
      <c r="G58" s="146"/>
      <c r="H58" s="146"/>
    </row>
    <row r="59" spans="1:8" ht="22.5" customHeight="1" x14ac:dyDescent="0.25">
      <c r="A59" s="42">
        <v>58</v>
      </c>
      <c r="B59" s="19" t="s">
        <v>1834</v>
      </c>
      <c r="C59" s="19" t="s">
        <v>1710</v>
      </c>
      <c r="D59" s="19" t="s">
        <v>1840</v>
      </c>
      <c r="E59" s="145" t="s">
        <v>1842</v>
      </c>
      <c r="F59" s="39" t="s">
        <v>1844</v>
      </c>
      <c r="G59" s="146" t="s">
        <v>1847</v>
      </c>
      <c r="H59" s="146" t="s">
        <v>1849</v>
      </c>
    </row>
    <row r="60" spans="1:8" ht="22.5" customHeight="1" x14ac:dyDescent="0.25">
      <c r="A60" s="16">
        <v>59</v>
      </c>
      <c r="B60" s="145" t="s">
        <v>1855</v>
      </c>
      <c r="C60" s="145" t="s">
        <v>1501</v>
      </c>
      <c r="D60" s="145" t="s">
        <v>274</v>
      </c>
      <c r="E60" s="19" t="s">
        <v>1865</v>
      </c>
      <c r="F60" s="148" t="s">
        <v>284</v>
      </c>
      <c r="G60" s="146" t="s">
        <v>1870</v>
      </c>
      <c r="H60" s="146" t="s">
        <v>1873</v>
      </c>
    </row>
    <row r="61" spans="1:8" ht="22.5" customHeight="1" x14ac:dyDescent="0.25">
      <c r="A61" s="42">
        <v>60</v>
      </c>
      <c r="B61" s="19" t="s">
        <v>1877</v>
      </c>
      <c r="C61" s="19" t="s">
        <v>1501</v>
      </c>
      <c r="D61" s="19" t="s">
        <v>1881</v>
      </c>
      <c r="E61" s="145" t="s">
        <v>1884</v>
      </c>
      <c r="F61" s="39" t="s">
        <v>315</v>
      </c>
      <c r="G61" s="146"/>
      <c r="H61" s="146"/>
    </row>
    <row r="62" spans="1:8" ht="22.5" customHeight="1" x14ac:dyDescent="0.25">
      <c r="A62" s="16">
        <v>61</v>
      </c>
      <c r="B62" s="145" t="s">
        <v>1899</v>
      </c>
      <c r="C62" s="145" t="s">
        <v>1509</v>
      </c>
      <c r="D62" s="145" t="s">
        <v>1904</v>
      </c>
      <c r="E62" s="19" t="s">
        <v>1909</v>
      </c>
      <c r="F62" s="148" t="s">
        <v>1913</v>
      </c>
      <c r="G62" s="146" t="s">
        <v>1918</v>
      </c>
      <c r="H62" s="146" t="s">
        <v>1920</v>
      </c>
    </row>
    <row r="63" spans="1:8" ht="22.5" customHeight="1" x14ac:dyDescent="0.25">
      <c r="A63" s="42">
        <v>62</v>
      </c>
      <c r="B63" s="19" t="s">
        <v>495</v>
      </c>
      <c r="C63" s="19" t="s">
        <v>1509</v>
      </c>
      <c r="D63" s="19" t="s">
        <v>500</v>
      </c>
      <c r="E63" s="145" t="s">
        <v>1933</v>
      </c>
      <c r="F63" s="39" t="s">
        <v>1937</v>
      </c>
      <c r="G63" s="146" t="s">
        <v>1940</v>
      </c>
      <c r="H63" s="146" t="s">
        <v>1944</v>
      </c>
    </row>
    <row r="64" spans="1:8" ht="22.5" customHeight="1" x14ac:dyDescent="0.25">
      <c r="A64" s="16">
        <v>63</v>
      </c>
      <c r="B64" s="145" t="s">
        <v>1955</v>
      </c>
      <c r="C64" s="145" t="s">
        <v>1710</v>
      </c>
      <c r="D64" s="145" t="s">
        <v>1961</v>
      </c>
      <c r="E64" s="19" t="s">
        <v>1909</v>
      </c>
      <c r="F64" s="148" t="s">
        <v>1968</v>
      </c>
      <c r="G64" s="146" t="s">
        <v>1796</v>
      </c>
      <c r="H64" s="146" t="s">
        <v>1798</v>
      </c>
    </row>
    <row r="65" spans="1:8" ht="22.5" customHeight="1" x14ac:dyDescent="0.25">
      <c r="A65" s="42">
        <v>64</v>
      </c>
      <c r="B65" s="19" t="s">
        <v>1985</v>
      </c>
      <c r="C65" s="19" t="s">
        <v>1509</v>
      </c>
      <c r="D65" s="19" t="s">
        <v>1992</v>
      </c>
      <c r="E65" s="145" t="s">
        <v>1995</v>
      </c>
      <c r="F65" s="39" t="s">
        <v>1998</v>
      </c>
      <c r="G65" s="146" t="s">
        <v>1656</v>
      </c>
      <c r="H65" s="146" t="s">
        <v>1659</v>
      </c>
    </row>
    <row r="66" spans="1:8" ht="22.5" customHeight="1" x14ac:dyDescent="0.25">
      <c r="A66" s="16">
        <v>65</v>
      </c>
      <c r="B66" s="145" t="s">
        <v>2006</v>
      </c>
      <c r="C66" s="145" t="s">
        <v>1509</v>
      </c>
      <c r="D66" s="145" t="s">
        <v>27</v>
      </c>
      <c r="E66" s="19" t="s">
        <v>2010</v>
      </c>
      <c r="F66" s="148" t="s">
        <v>1010</v>
      </c>
      <c r="G66" s="146"/>
      <c r="H66" s="146"/>
    </row>
    <row r="67" spans="1:8" ht="22.5" customHeight="1" x14ac:dyDescent="0.25">
      <c r="A67" s="42">
        <v>66</v>
      </c>
      <c r="B67" s="19" t="s">
        <v>2018</v>
      </c>
      <c r="C67" s="19" t="s">
        <v>1549</v>
      </c>
      <c r="D67" s="19" t="s">
        <v>27</v>
      </c>
      <c r="E67" s="145" t="s">
        <v>1113</v>
      </c>
      <c r="F67" s="39" t="s">
        <v>33</v>
      </c>
      <c r="G67" s="146"/>
      <c r="H67" s="146"/>
    </row>
    <row r="68" spans="1:8" ht="22.5" customHeight="1" x14ac:dyDescent="0.25">
      <c r="A68" s="16">
        <v>67</v>
      </c>
      <c r="B68" s="145" t="s">
        <v>2029</v>
      </c>
      <c r="C68" s="145" t="s">
        <v>1509</v>
      </c>
      <c r="D68" s="145" t="s">
        <v>27</v>
      </c>
      <c r="E68" s="19" t="s">
        <v>1842</v>
      </c>
      <c r="F68" s="148" t="s">
        <v>1752</v>
      </c>
      <c r="G68" s="146"/>
      <c r="H68" s="146"/>
    </row>
    <row r="69" spans="1:8" ht="22.5" customHeight="1" x14ac:dyDescent="0.25">
      <c r="A69" s="42">
        <v>68</v>
      </c>
      <c r="B69" s="19" t="s">
        <v>2042</v>
      </c>
      <c r="C69" s="19" t="s">
        <v>1549</v>
      </c>
      <c r="D69" s="19" t="s">
        <v>2049</v>
      </c>
      <c r="E69" s="145" t="s">
        <v>2050</v>
      </c>
      <c r="F69" s="39" t="s">
        <v>2051</v>
      </c>
      <c r="G69" s="146" t="s">
        <v>2053</v>
      </c>
      <c r="H69" s="146" t="s">
        <v>2055</v>
      </c>
    </row>
    <row r="70" spans="1:8" ht="22.5" customHeight="1" x14ac:dyDescent="0.25">
      <c r="A70" s="16">
        <v>69</v>
      </c>
      <c r="B70" s="145" t="s">
        <v>2063</v>
      </c>
      <c r="C70" s="145" t="s">
        <v>1501</v>
      </c>
      <c r="D70" s="145" t="s">
        <v>27</v>
      </c>
      <c r="E70" s="19" t="s">
        <v>2067</v>
      </c>
      <c r="F70" s="148" t="s">
        <v>1036</v>
      </c>
      <c r="G70" s="146"/>
      <c r="H70" s="146"/>
    </row>
    <row r="71" spans="1:8" ht="22.5" customHeight="1" x14ac:dyDescent="0.25">
      <c r="A71" s="42">
        <v>70</v>
      </c>
      <c r="B71" s="19" t="s">
        <v>2077</v>
      </c>
      <c r="C71" s="19" t="s">
        <v>1549</v>
      </c>
      <c r="D71" s="19" t="s">
        <v>1427</v>
      </c>
      <c r="E71" s="145" t="s">
        <v>2085</v>
      </c>
      <c r="F71" s="39" t="s">
        <v>865</v>
      </c>
      <c r="G71" s="146" t="s">
        <v>1796</v>
      </c>
      <c r="H71" s="146" t="s">
        <v>1798</v>
      </c>
    </row>
    <row r="72" spans="1:8" ht="22.5" customHeight="1" x14ac:dyDescent="0.25">
      <c r="A72" s="16">
        <v>71</v>
      </c>
      <c r="B72" s="145" t="s">
        <v>2097</v>
      </c>
      <c r="C72" s="145" t="s">
        <v>1501</v>
      </c>
      <c r="D72" s="145" t="s">
        <v>2101</v>
      </c>
      <c r="E72" s="19" t="s">
        <v>2104</v>
      </c>
      <c r="F72" s="148" t="s">
        <v>2106</v>
      </c>
      <c r="G72" s="146" t="s">
        <v>2107</v>
      </c>
      <c r="H72" s="146" t="s">
        <v>2108</v>
      </c>
    </row>
    <row r="73" spans="1:8" ht="22.5" customHeight="1" x14ac:dyDescent="0.25">
      <c r="A73" s="42">
        <v>72</v>
      </c>
      <c r="B73" s="19" t="s">
        <v>2114</v>
      </c>
      <c r="C73" s="19" t="s">
        <v>1710</v>
      </c>
      <c r="D73" s="19" t="s">
        <v>1088</v>
      </c>
      <c r="E73" s="145" t="s">
        <v>2128</v>
      </c>
      <c r="F73" s="39" t="s">
        <v>1706</v>
      </c>
      <c r="G73" s="146" t="s">
        <v>2134</v>
      </c>
      <c r="H73" s="146" t="s">
        <v>2135</v>
      </c>
    </row>
    <row r="74" spans="1:8" ht="22.5" customHeight="1" x14ac:dyDescent="0.25">
      <c r="A74" s="16">
        <v>73</v>
      </c>
      <c r="B74" s="145" t="s">
        <v>2139</v>
      </c>
      <c r="C74" s="145" t="s">
        <v>1501</v>
      </c>
      <c r="D74" s="145" t="s">
        <v>2142</v>
      </c>
      <c r="E74" s="19" t="s">
        <v>2145</v>
      </c>
      <c r="F74" s="148" t="s">
        <v>2146</v>
      </c>
      <c r="G74" s="146"/>
      <c r="H74" s="146"/>
    </row>
    <row r="75" spans="1:8" ht="22.5" customHeight="1" x14ac:dyDescent="0.25">
      <c r="A75" s="42">
        <v>74</v>
      </c>
      <c r="B75" s="19" t="s">
        <v>2153</v>
      </c>
      <c r="C75" s="19" t="s">
        <v>1501</v>
      </c>
      <c r="D75" s="19" t="s">
        <v>2158</v>
      </c>
      <c r="E75" s="145" t="s">
        <v>2160</v>
      </c>
      <c r="F75" s="39" t="s">
        <v>2162</v>
      </c>
      <c r="G75" s="146" t="s">
        <v>2163</v>
      </c>
      <c r="H75" s="146" t="s">
        <v>2165</v>
      </c>
    </row>
    <row r="76" spans="1:8" ht="22.5" customHeight="1" x14ac:dyDescent="0.25">
      <c r="A76" s="16">
        <v>75</v>
      </c>
      <c r="B76" s="145" t="s">
        <v>2167</v>
      </c>
      <c r="C76" s="145" t="s">
        <v>1549</v>
      </c>
      <c r="D76" s="145" t="s">
        <v>958</v>
      </c>
      <c r="E76" s="19" t="s">
        <v>2170</v>
      </c>
      <c r="F76" s="148" t="s">
        <v>960</v>
      </c>
      <c r="G76" s="146" t="s">
        <v>1796</v>
      </c>
      <c r="H76" s="146" t="s">
        <v>1798</v>
      </c>
    </row>
    <row r="77" spans="1:8" ht="22.5" customHeight="1" x14ac:dyDescent="0.25">
      <c r="A77" s="42">
        <v>76</v>
      </c>
      <c r="B77" s="19" t="s">
        <v>2177</v>
      </c>
      <c r="C77" s="19" t="s">
        <v>1509</v>
      </c>
      <c r="D77" s="19" t="s">
        <v>2180</v>
      </c>
      <c r="E77" s="145" t="s">
        <v>2181</v>
      </c>
      <c r="F77" s="39" t="s">
        <v>2183</v>
      </c>
      <c r="G77" s="146"/>
      <c r="H77" s="146"/>
    </row>
    <row r="78" spans="1:8" ht="22.5" customHeight="1" x14ac:dyDescent="0.25">
      <c r="A78" s="16">
        <v>77</v>
      </c>
      <c r="B78" s="145" t="s">
        <v>2187</v>
      </c>
      <c r="C78" s="145" t="s">
        <v>1501</v>
      </c>
      <c r="D78" s="145" t="s">
        <v>2188</v>
      </c>
      <c r="E78" s="19" t="s">
        <v>2190</v>
      </c>
      <c r="F78" s="148" t="s">
        <v>2192</v>
      </c>
      <c r="G78" s="146" t="s">
        <v>2193</v>
      </c>
      <c r="H78" s="146" t="s">
        <v>2195</v>
      </c>
    </row>
    <row r="79" spans="1:8" ht="22.5" customHeight="1" x14ac:dyDescent="0.25">
      <c r="A79" s="42">
        <v>78</v>
      </c>
      <c r="B79" s="19" t="s">
        <v>2200</v>
      </c>
      <c r="C79" s="19" t="s">
        <v>1710</v>
      </c>
      <c r="D79" s="19" t="s">
        <v>2201</v>
      </c>
      <c r="E79" s="145" t="s">
        <v>2202</v>
      </c>
      <c r="F79" s="39" t="s">
        <v>2203</v>
      </c>
      <c r="G79" s="146"/>
      <c r="H79" s="146"/>
    </row>
    <row r="80" spans="1:8" ht="22.5" customHeight="1" x14ac:dyDescent="0.25">
      <c r="A80" s="16">
        <v>79</v>
      </c>
      <c r="B80" s="145" t="s">
        <v>2204</v>
      </c>
      <c r="C80" s="145" t="s">
        <v>1710</v>
      </c>
      <c r="D80" s="145" t="s">
        <v>2205</v>
      </c>
      <c r="E80" s="19" t="s">
        <v>2206</v>
      </c>
      <c r="F80" s="148" t="s">
        <v>2208</v>
      </c>
      <c r="G80" s="146" t="s">
        <v>1796</v>
      </c>
      <c r="H80" s="146" t="s">
        <v>1798</v>
      </c>
    </row>
    <row r="81" spans="1:8" ht="22.5" customHeight="1" x14ac:dyDescent="0.25">
      <c r="A81" s="42">
        <v>80</v>
      </c>
      <c r="B81" s="19" t="s">
        <v>2211</v>
      </c>
      <c r="C81" s="19" t="s">
        <v>1549</v>
      </c>
      <c r="D81" s="19" t="s">
        <v>2214</v>
      </c>
      <c r="E81" s="145" t="s">
        <v>2216</v>
      </c>
      <c r="F81" s="39" t="s">
        <v>2217</v>
      </c>
      <c r="G81" s="146"/>
      <c r="H81" s="146"/>
    </row>
    <row r="82" spans="1:8" ht="22.5" customHeight="1" x14ac:dyDescent="0.25">
      <c r="A82" s="16">
        <v>81</v>
      </c>
      <c r="B82" s="145" t="s">
        <v>2219</v>
      </c>
      <c r="C82" s="145" t="s">
        <v>1549</v>
      </c>
      <c r="D82" s="145" t="s">
        <v>1961</v>
      </c>
      <c r="E82" s="19" t="s">
        <v>2221</v>
      </c>
      <c r="F82" s="176">
        <v>6281343164304</v>
      </c>
      <c r="G82" s="146" t="s">
        <v>1796</v>
      </c>
      <c r="H82" s="146" t="s">
        <v>1798</v>
      </c>
    </row>
    <row r="83" spans="1:8" ht="22.5" customHeight="1" x14ac:dyDescent="0.25">
      <c r="A83" s="42">
        <v>82</v>
      </c>
      <c r="B83" s="19" t="s">
        <v>2226</v>
      </c>
      <c r="C83" s="19" t="s">
        <v>1509</v>
      </c>
      <c r="D83" s="19" t="s">
        <v>1961</v>
      </c>
      <c r="E83" s="145" t="s">
        <v>2228</v>
      </c>
      <c r="F83" s="39" t="s">
        <v>2229</v>
      </c>
      <c r="G83" s="146" t="s">
        <v>1796</v>
      </c>
      <c r="H83" s="146" t="s">
        <v>1798</v>
      </c>
    </row>
    <row r="84" spans="1:8" ht="22.5" customHeight="1" x14ac:dyDescent="0.25">
      <c r="A84" s="16">
        <v>83</v>
      </c>
      <c r="B84" s="145" t="s">
        <v>2230</v>
      </c>
      <c r="C84" s="145" t="s">
        <v>1549</v>
      </c>
      <c r="D84" s="145" t="s">
        <v>2232</v>
      </c>
      <c r="E84" s="19" t="s">
        <v>2233</v>
      </c>
      <c r="F84" s="148" t="s">
        <v>2234</v>
      </c>
      <c r="G84" s="146" t="s">
        <v>2235</v>
      </c>
      <c r="H84" s="146" t="s">
        <v>2237</v>
      </c>
    </row>
    <row r="85" spans="1:8" ht="22.5" customHeight="1" x14ac:dyDescent="0.25">
      <c r="A85" s="42">
        <v>84</v>
      </c>
      <c r="B85" s="19" t="s">
        <v>2226</v>
      </c>
      <c r="C85" s="19" t="s">
        <v>1509</v>
      </c>
      <c r="D85" s="19" t="s">
        <v>1427</v>
      </c>
      <c r="E85" s="145" t="s">
        <v>2239</v>
      </c>
      <c r="F85" s="39" t="s">
        <v>2229</v>
      </c>
      <c r="G85" s="146" t="s">
        <v>1796</v>
      </c>
      <c r="H85" s="146" t="s">
        <v>1798</v>
      </c>
    </row>
    <row r="86" spans="1:8" ht="22.5" customHeight="1" x14ac:dyDescent="0.25">
      <c r="A86" s="16">
        <v>85</v>
      </c>
      <c r="B86" s="145" t="s">
        <v>2242</v>
      </c>
      <c r="C86" s="145" t="s">
        <v>1710</v>
      </c>
      <c r="D86" s="145" t="s">
        <v>2243</v>
      </c>
      <c r="E86" s="19" t="s">
        <v>2244</v>
      </c>
      <c r="F86" s="148" t="s">
        <v>2245</v>
      </c>
      <c r="G86" s="146" t="s">
        <v>1796</v>
      </c>
      <c r="H86" s="146" t="s">
        <v>1798</v>
      </c>
    </row>
    <row r="87" spans="1:8" ht="22.5" customHeight="1" x14ac:dyDescent="0.25">
      <c r="A87" s="42">
        <v>86</v>
      </c>
      <c r="B87" s="19" t="s">
        <v>2248</v>
      </c>
      <c r="C87" s="19" t="s">
        <v>1509</v>
      </c>
      <c r="D87" s="19" t="s">
        <v>2250</v>
      </c>
      <c r="E87" s="145" t="s">
        <v>2251</v>
      </c>
      <c r="F87" s="39" t="s">
        <v>335</v>
      </c>
      <c r="G87" s="146" t="s">
        <v>2252</v>
      </c>
      <c r="H87" s="146" t="s">
        <v>2253</v>
      </c>
    </row>
    <row r="88" spans="1:8" ht="22.5" customHeight="1" x14ac:dyDescent="0.25">
      <c r="A88" s="16">
        <v>87</v>
      </c>
      <c r="B88" s="145" t="s">
        <v>1108</v>
      </c>
      <c r="C88" s="145" t="s">
        <v>1710</v>
      </c>
      <c r="D88" s="145" t="s">
        <v>1111</v>
      </c>
      <c r="E88" s="19" t="s">
        <v>2256</v>
      </c>
      <c r="F88" s="145" t="s">
        <v>2258</v>
      </c>
      <c r="G88" s="146" t="s">
        <v>2259</v>
      </c>
      <c r="H88" s="146" t="s">
        <v>2261</v>
      </c>
    </row>
    <row r="89" spans="1:8" ht="22.5" customHeight="1" x14ac:dyDescent="0.25">
      <c r="A89" s="42">
        <v>88</v>
      </c>
      <c r="B89" s="19" t="s">
        <v>2262</v>
      </c>
      <c r="C89" s="19" t="s">
        <v>1710</v>
      </c>
      <c r="D89" s="19" t="s">
        <v>121</v>
      </c>
      <c r="E89" s="145" t="s">
        <v>2263</v>
      </c>
      <c r="F89" s="39" t="s">
        <v>2208</v>
      </c>
      <c r="G89" s="146"/>
      <c r="H89" s="146"/>
    </row>
    <row r="90" spans="1:8" ht="22.5" customHeight="1" x14ac:dyDescent="0.25">
      <c r="A90" s="16">
        <v>89</v>
      </c>
      <c r="B90" s="145" t="s">
        <v>2267</v>
      </c>
      <c r="C90" s="145" t="s">
        <v>1509</v>
      </c>
      <c r="D90" s="145" t="s">
        <v>1427</v>
      </c>
      <c r="E90" s="19" t="s">
        <v>644</v>
      </c>
      <c r="F90" s="148" t="s">
        <v>2269</v>
      </c>
      <c r="G90" s="146" t="s">
        <v>1796</v>
      </c>
      <c r="H90" s="146" t="s">
        <v>1798</v>
      </c>
    </row>
    <row r="91" spans="1:8" ht="22.5" customHeight="1" x14ac:dyDescent="0.25">
      <c r="A91" s="42">
        <v>90</v>
      </c>
      <c r="B91" s="19" t="s">
        <v>2271</v>
      </c>
      <c r="C91" s="19" t="s">
        <v>1549</v>
      </c>
      <c r="D91" s="19" t="s">
        <v>2273</v>
      </c>
      <c r="E91" s="145" t="s">
        <v>1601</v>
      </c>
      <c r="F91" s="39" t="s">
        <v>2275</v>
      </c>
      <c r="G91" s="146" t="s">
        <v>2276</v>
      </c>
      <c r="H91" s="146" t="s">
        <v>2277</v>
      </c>
    </row>
    <row r="92" spans="1:8" ht="22.5" customHeight="1" x14ac:dyDescent="0.25">
      <c r="A92" s="16">
        <v>91</v>
      </c>
      <c r="B92" s="145" t="s">
        <v>2281</v>
      </c>
      <c r="C92" s="145" t="s">
        <v>1501</v>
      </c>
      <c r="D92" s="145" t="s">
        <v>2282</v>
      </c>
      <c r="E92" s="19" t="s">
        <v>2283</v>
      </c>
      <c r="F92" s="148" t="s">
        <v>2284</v>
      </c>
      <c r="G92" s="146" t="s">
        <v>2286</v>
      </c>
      <c r="H92" s="146" t="s">
        <v>2287</v>
      </c>
    </row>
    <row r="93" spans="1:8" ht="22.5" customHeight="1" x14ac:dyDescent="0.25">
      <c r="A93" s="42">
        <v>92</v>
      </c>
      <c r="B93" s="19" t="s">
        <v>2289</v>
      </c>
      <c r="C93" s="19" t="s">
        <v>1549</v>
      </c>
      <c r="D93" s="19" t="s">
        <v>2290</v>
      </c>
      <c r="E93" s="145" t="s">
        <v>2291</v>
      </c>
      <c r="F93" s="39" t="s">
        <v>2292</v>
      </c>
      <c r="G93" s="146" t="s">
        <v>2293</v>
      </c>
      <c r="H93" s="146" t="s">
        <v>2294</v>
      </c>
    </row>
    <row r="94" spans="1:8" ht="22.5" customHeight="1" x14ac:dyDescent="0.25">
      <c r="A94" s="16">
        <v>93</v>
      </c>
      <c r="B94" s="145" t="s">
        <v>2297</v>
      </c>
      <c r="C94" s="145" t="s">
        <v>1501</v>
      </c>
      <c r="D94" s="145" t="s">
        <v>2299</v>
      </c>
      <c r="E94" s="19" t="s">
        <v>2300</v>
      </c>
      <c r="F94" s="145" t="s">
        <v>2302</v>
      </c>
      <c r="G94" s="146" t="s">
        <v>2304</v>
      </c>
      <c r="H94" s="146" t="s">
        <v>2305</v>
      </c>
    </row>
    <row r="95" spans="1:8" ht="22.5" customHeight="1" x14ac:dyDescent="0.25">
      <c r="A95" s="42">
        <v>94</v>
      </c>
      <c r="B95" s="19" t="s">
        <v>2307</v>
      </c>
      <c r="C95" s="19" t="s">
        <v>1549</v>
      </c>
      <c r="D95" s="19" t="s">
        <v>2309</v>
      </c>
      <c r="E95" s="145" t="s">
        <v>2311</v>
      </c>
      <c r="F95" s="39" t="s">
        <v>2313</v>
      </c>
      <c r="G95" s="146" t="s">
        <v>2315</v>
      </c>
      <c r="H95" s="146" t="s">
        <v>2316</v>
      </c>
    </row>
    <row r="96" spans="1:8" ht="22.5" customHeight="1" x14ac:dyDescent="0.25">
      <c r="A96" s="16">
        <v>95</v>
      </c>
      <c r="B96" s="145" t="s">
        <v>2318</v>
      </c>
      <c r="C96" s="145" t="s">
        <v>1549</v>
      </c>
      <c r="D96" s="145" t="s">
        <v>2320</v>
      </c>
      <c r="E96" s="19" t="s">
        <v>2322</v>
      </c>
      <c r="F96" s="148" t="s">
        <v>2324</v>
      </c>
      <c r="G96" s="146" t="s">
        <v>2325</v>
      </c>
      <c r="H96" s="146" t="s">
        <v>2326</v>
      </c>
    </row>
    <row r="97" spans="1:8" ht="22.5" customHeight="1" x14ac:dyDescent="0.25">
      <c r="A97" s="42">
        <v>96</v>
      </c>
      <c r="B97" s="19" t="s">
        <v>2329</v>
      </c>
      <c r="C97" s="19" t="s">
        <v>1549</v>
      </c>
      <c r="D97" s="19" t="s">
        <v>1572</v>
      </c>
      <c r="E97" s="145" t="s">
        <v>665</v>
      </c>
      <c r="F97" s="39" t="s">
        <v>2332</v>
      </c>
      <c r="G97" s="146" t="s">
        <v>2325</v>
      </c>
      <c r="H97" s="146" t="s">
        <v>2326</v>
      </c>
    </row>
    <row r="98" spans="1:8" ht="22.5" customHeight="1" x14ac:dyDescent="0.25">
      <c r="A98" s="16">
        <v>97</v>
      </c>
      <c r="B98" s="145" t="s">
        <v>2334</v>
      </c>
      <c r="C98" s="145" t="s">
        <v>1501</v>
      </c>
      <c r="D98" s="145" t="s">
        <v>1961</v>
      </c>
      <c r="E98" s="19" t="s">
        <v>2335</v>
      </c>
      <c r="F98" s="145" t="s">
        <v>2336</v>
      </c>
      <c r="G98" s="146" t="s">
        <v>1796</v>
      </c>
      <c r="H98" s="146" t="s">
        <v>1798</v>
      </c>
    </row>
    <row r="99" spans="1:8" ht="22.5" customHeight="1" x14ac:dyDescent="0.25">
      <c r="A99" s="42">
        <v>98</v>
      </c>
      <c r="B99" s="19" t="s">
        <v>2340</v>
      </c>
      <c r="C99" s="19" t="s">
        <v>1509</v>
      </c>
      <c r="D99" s="19" t="s">
        <v>2341</v>
      </c>
      <c r="E99" s="178" t="s">
        <v>2343</v>
      </c>
      <c r="F99" s="39" t="s">
        <v>2345</v>
      </c>
      <c r="G99" s="146" t="s">
        <v>2346</v>
      </c>
      <c r="H99" s="146" t="s">
        <v>2347</v>
      </c>
    </row>
    <row r="100" spans="1:8" ht="22.5" customHeight="1" x14ac:dyDescent="0.25">
      <c r="A100" s="16">
        <v>99</v>
      </c>
      <c r="B100" s="145" t="s">
        <v>2350</v>
      </c>
      <c r="C100" s="145" t="s">
        <v>1501</v>
      </c>
      <c r="D100" s="145" t="s">
        <v>2352</v>
      </c>
      <c r="E100" s="49"/>
      <c r="F100" s="148" t="s">
        <v>2355</v>
      </c>
      <c r="G100" s="146" t="s">
        <v>2356</v>
      </c>
      <c r="H100" s="146" t="s">
        <v>2357</v>
      </c>
    </row>
    <row r="101" spans="1:8" ht="22.5" customHeight="1" x14ac:dyDescent="0.25">
      <c r="A101" s="42">
        <v>100</v>
      </c>
      <c r="B101" s="19" t="s">
        <v>2359</v>
      </c>
      <c r="C101" s="19" t="s">
        <v>1501</v>
      </c>
      <c r="D101" s="19" t="s">
        <v>178</v>
      </c>
      <c r="E101" s="49"/>
      <c r="F101" s="39" t="s">
        <v>2361</v>
      </c>
      <c r="G101" s="146" t="s">
        <v>2363</v>
      </c>
      <c r="H101" s="146" t="s">
        <v>2364</v>
      </c>
    </row>
    <row r="102" spans="1:8" ht="22.5" customHeight="1" x14ac:dyDescent="0.25">
      <c r="A102" s="16">
        <v>101</v>
      </c>
      <c r="B102" s="145" t="s">
        <v>2366</v>
      </c>
      <c r="C102" s="145" t="s">
        <v>1509</v>
      </c>
      <c r="D102" s="145" t="s">
        <v>2368</v>
      </c>
      <c r="E102" s="49"/>
      <c r="F102" s="148" t="s">
        <v>2369</v>
      </c>
      <c r="G102" s="146" t="s">
        <v>2371</v>
      </c>
      <c r="H102" s="146" t="s">
        <v>2373</v>
      </c>
    </row>
    <row r="103" spans="1:8" ht="22.5" customHeight="1" x14ac:dyDescent="0.25">
      <c r="A103" s="42">
        <v>102</v>
      </c>
      <c r="B103" s="19" t="s">
        <v>2374</v>
      </c>
      <c r="C103" s="19" t="s">
        <v>1509</v>
      </c>
      <c r="D103" s="19" t="s">
        <v>2377</v>
      </c>
      <c r="E103" s="49"/>
      <c r="F103" s="19" t="s">
        <v>2378</v>
      </c>
      <c r="G103" s="146" t="s">
        <v>2379</v>
      </c>
      <c r="H103" s="146" t="s">
        <v>2380</v>
      </c>
    </row>
    <row r="104" spans="1:8" ht="22.5" customHeight="1" x14ac:dyDescent="0.25">
      <c r="A104" s="16">
        <v>103</v>
      </c>
      <c r="B104" s="145" t="s">
        <v>2383</v>
      </c>
      <c r="C104" s="145" t="s">
        <v>1509</v>
      </c>
      <c r="D104" s="145" t="s">
        <v>2385</v>
      </c>
      <c r="E104" s="49"/>
      <c r="F104" s="145" t="s">
        <v>2387</v>
      </c>
      <c r="G104" s="146"/>
      <c r="H104" s="146"/>
    </row>
    <row r="105" spans="1:8" ht="22.5" customHeight="1" x14ac:dyDescent="0.25">
      <c r="A105" s="42">
        <v>104</v>
      </c>
      <c r="B105" s="19" t="s">
        <v>2389</v>
      </c>
      <c r="C105" s="19" t="s">
        <v>1509</v>
      </c>
      <c r="D105" s="19" t="s">
        <v>2391</v>
      </c>
      <c r="E105" s="49"/>
      <c r="F105" s="39" t="s">
        <v>2392</v>
      </c>
      <c r="G105" s="146" t="s">
        <v>2394</v>
      </c>
      <c r="H105" s="146" t="s">
        <v>2395</v>
      </c>
    </row>
    <row r="106" spans="1:8" ht="22.5" customHeight="1" x14ac:dyDescent="0.25">
      <c r="A106" s="16">
        <v>105</v>
      </c>
      <c r="B106" s="145" t="s">
        <v>2396</v>
      </c>
      <c r="C106" s="145" t="s">
        <v>1509</v>
      </c>
      <c r="D106" s="145" t="s">
        <v>2397</v>
      </c>
      <c r="E106" s="49"/>
      <c r="F106" s="176">
        <v>75813680</v>
      </c>
      <c r="G106" s="146" t="s">
        <v>2398</v>
      </c>
      <c r="H106" s="146" t="s">
        <v>2400</v>
      </c>
    </row>
    <row r="107" spans="1:8" ht="22.5" customHeight="1" x14ac:dyDescent="0.25">
      <c r="A107" s="42">
        <v>106</v>
      </c>
      <c r="B107" s="19" t="s">
        <v>2402</v>
      </c>
      <c r="C107" s="19" t="s">
        <v>1509</v>
      </c>
      <c r="D107" s="19" t="s">
        <v>2403</v>
      </c>
      <c r="E107" s="49"/>
      <c r="F107" s="179">
        <v>74570410</v>
      </c>
      <c r="G107" s="146" t="s">
        <v>2398</v>
      </c>
      <c r="H107" s="146" t="s">
        <v>2400</v>
      </c>
    </row>
    <row r="108" spans="1:8" ht="22.5" customHeight="1" x14ac:dyDescent="0.25">
      <c r="A108" s="16">
        <v>107</v>
      </c>
      <c r="B108" s="145" t="s">
        <v>2407</v>
      </c>
      <c r="C108" s="145" t="s">
        <v>1710</v>
      </c>
      <c r="D108" s="145" t="s">
        <v>2403</v>
      </c>
      <c r="E108" s="49"/>
      <c r="F108" s="176">
        <v>76434492</v>
      </c>
      <c r="G108" s="146" t="s">
        <v>2398</v>
      </c>
      <c r="H108" s="146" t="s">
        <v>2400</v>
      </c>
    </row>
    <row r="109" spans="1:8" ht="22.5" customHeight="1" x14ac:dyDescent="0.25">
      <c r="A109" s="42">
        <v>108</v>
      </c>
      <c r="B109" s="19" t="s">
        <v>2412</v>
      </c>
      <c r="C109" s="19" t="s">
        <v>1710</v>
      </c>
      <c r="D109" s="19" t="s">
        <v>2403</v>
      </c>
      <c r="E109" s="49"/>
      <c r="F109" s="179">
        <v>73629876</v>
      </c>
      <c r="G109" s="146" t="s">
        <v>2398</v>
      </c>
      <c r="H109" s="146" t="s">
        <v>2400</v>
      </c>
    </row>
    <row r="110" spans="1:8" ht="22.5" customHeight="1" x14ac:dyDescent="0.25">
      <c r="A110" s="16">
        <v>109</v>
      </c>
      <c r="B110" s="145" t="s">
        <v>2414</v>
      </c>
      <c r="C110" s="145" t="s">
        <v>1710</v>
      </c>
      <c r="D110" s="145" t="s">
        <v>1840</v>
      </c>
      <c r="E110" s="49"/>
      <c r="F110" s="148" t="s">
        <v>2415</v>
      </c>
      <c r="G110" s="146" t="s">
        <v>2416</v>
      </c>
      <c r="H110" s="146" t="s">
        <v>2417</v>
      </c>
    </row>
    <row r="111" spans="1:8" ht="22.5" customHeight="1" x14ac:dyDescent="0.25">
      <c r="A111" s="42">
        <v>110</v>
      </c>
      <c r="B111" s="19" t="s">
        <v>642</v>
      </c>
      <c r="C111" s="19" t="s">
        <v>1549</v>
      </c>
      <c r="D111" s="19" t="s">
        <v>27</v>
      </c>
      <c r="E111" s="49"/>
      <c r="F111" s="39" t="s">
        <v>646</v>
      </c>
      <c r="G111" s="146"/>
      <c r="H111" s="146"/>
    </row>
    <row r="112" spans="1:8" ht="22.5" customHeight="1" x14ac:dyDescent="0.25">
      <c r="A112" s="16">
        <v>111</v>
      </c>
      <c r="B112" s="145" t="s">
        <v>2422</v>
      </c>
      <c r="C112" s="145" t="s">
        <v>1549</v>
      </c>
      <c r="D112" s="145" t="s">
        <v>1067</v>
      </c>
      <c r="E112" s="49"/>
      <c r="F112" s="148" t="s">
        <v>1604</v>
      </c>
      <c r="G112" s="146"/>
      <c r="H112" s="146"/>
    </row>
    <row r="113" spans="1:8" ht="22.5" customHeight="1" x14ac:dyDescent="0.25">
      <c r="A113" s="42">
        <v>112</v>
      </c>
      <c r="B113" s="19" t="s">
        <v>2425</v>
      </c>
      <c r="C113" s="19" t="s">
        <v>1509</v>
      </c>
      <c r="D113" s="19" t="s">
        <v>2426</v>
      </c>
      <c r="E113" s="49"/>
      <c r="F113" s="39" t="s">
        <v>724</v>
      </c>
      <c r="G113" s="146"/>
      <c r="H113" s="146"/>
    </row>
    <row r="114" spans="1:8" ht="22.5" customHeight="1" x14ac:dyDescent="0.25">
      <c r="A114" s="16">
        <v>113</v>
      </c>
      <c r="B114" s="145" t="s">
        <v>2429</v>
      </c>
      <c r="C114" s="145" t="s">
        <v>1710</v>
      </c>
      <c r="D114" s="145" t="s">
        <v>2431</v>
      </c>
      <c r="E114" s="49"/>
      <c r="F114" s="176">
        <v>74193586</v>
      </c>
      <c r="G114" s="146" t="s">
        <v>2398</v>
      </c>
      <c r="H114" s="146" t="s">
        <v>2400</v>
      </c>
    </row>
    <row r="115" spans="1:8" ht="22.5" customHeight="1" x14ac:dyDescent="0.25">
      <c r="A115" s="42">
        <v>114</v>
      </c>
      <c r="B115" s="19" t="s">
        <v>2399</v>
      </c>
      <c r="C115" s="19" t="s">
        <v>1509</v>
      </c>
      <c r="D115" s="19" t="s">
        <v>2401</v>
      </c>
      <c r="E115" s="49"/>
      <c r="F115" s="39" t="s">
        <v>2434</v>
      </c>
      <c r="G115" s="146" t="s">
        <v>2435</v>
      </c>
      <c r="H115" s="146" t="s">
        <v>2436</v>
      </c>
    </row>
    <row r="116" spans="1:8" ht="22.5" customHeight="1" x14ac:dyDescent="0.25">
      <c r="A116" s="16">
        <v>115</v>
      </c>
      <c r="B116" s="145" t="s">
        <v>2437</v>
      </c>
      <c r="C116" s="145" t="s">
        <v>1501</v>
      </c>
      <c r="D116" s="145" t="s">
        <v>2439</v>
      </c>
      <c r="E116" s="49"/>
      <c r="F116" s="145" t="s">
        <v>2441</v>
      </c>
      <c r="G116" s="146"/>
      <c r="H116" s="146"/>
    </row>
    <row r="117" spans="1:8" ht="22.5" customHeight="1" x14ac:dyDescent="0.25">
      <c r="A117" s="42">
        <v>116</v>
      </c>
      <c r="B117" s="19" t="s">
        <v>2445</v>
      </c>
      <c r="C117" s="19" t="s">
        <v>1501</v>
      </c>
      <c r="D117" s="19" t="s">
        <v>2446</v>
      </c>
      <c r="E117" s="49"/>
      <c r="F117" s="39" t="s">
        <v>2447</v>
      </c>
      <c r="G117" s="146" t="s">
        <v>2448</v>
      </c>
      <c r="H117" s="146" t="s">
        <v>2449</v>
      </c>
    </row>
    <row r="118" spans="1:8" ht="22.5" customHeight="1" x14ac:dyDescent="0.25">
      <c r="A118" s="16">
        <v>117</v>
      </c>
      <c r="B118" s="145" t="s">
        <v>661</v>
      </c>
      <c r="C118" s="145" t="s">
        <v>1549</v>
      </c>
      <c r="D118" s="145" t="s">
        <v>663</v>
      </c>
      <c r="E118" s="49"/>
      <c r="F118" s="148" t="s">
        <v>668</v>
      </c>
      <c r="G118" s="146" t="s">
        <v>2315</v>
      </c>
      <c r="H118" s="146" t="s">
        <v>2316</v>
      </c>
    </row>
    <row r="119" spans="1:8" ht="22.5" customHeight="1" x14ac:dyDescent="0.25">
      <c r="A119" s="42">
        <v>118</v>
      </c>
      <c r="B119" s="19" t="s">
        <v>2454</v>
      </c>
      <c r="C119" s="19" t="s">
        <v>1710</v>
      </c>
      <c r="D119" s="19" t="s">
        <v>2455</v>
      </c>
      <c r="E119" s="49"/>
      <c r="F119" s="39" t="s">
        <v>2457</v>
      </c>
      <c r="G119" s="146" t="s">
        <v>2458</v>
      </c>
      <c r="H119" s="146" t="s">
        <v>2459</v>
      </c>
    </row>
    <row r="120" spans="1:8" ht="22.5" customHeight="1" x14ac:dyDescent="0.25">
      <c r="A120" s="16">
        <v>119</v>
      </c>
      <c r="B120" s="178" t="s">
        <v>2462</v>
      </c>
      <c r="C120" s="178" t="s">
        <v>1509</v>
      </c>
      <c r="D120" s="178" t="s">
        <v>2463</v>
      </c>
      <c r="E120" s="49"/>
      <c r="F120" s="180" t="s">
        <v>2464</v>
      </c>
      <c r="G120" s="146"/>
      <c r="H120" s="146"/>
    </row>
    <row r="121" spans="1:8" ht="15.75" customHeight="1" x14ac:dyDescent="0.25"/>
    <row r="122" spans="1:8" ht="15.75" customHeight="1" x14ac:dyDescent="0.25"/>
    <row r="123" spans="1:8" ht="15.75" customHeight="1" x14ac:dyDescent="0.25"/>
    <row r="124" spans="1:8" ht="15.75" customHeight="1" x14ac:dyDescent="0.25"/>
    <row r="125" spans="1:8" ht="15.75" customHeight="1" x14ac:dyDescent="0.25"/>
    <row r="126" spans="1:8" ht="15.75" customHeight="1" x14ac:dyDescent="0.25"/>
    <row r="127" spans="1:8" ht="15.75" customHeight="1" x14ac:dyDescent="0.25"/>
    <row r="128" spans="1: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3">
    <dataValidation type="list" allowBlank="1" sqref="C2:C120" xr:uid="{00000000-0002-0000-0600-000000000000}">
      <formula1>"Laki-laki,Perempuan"</formula1>
    </dataValidation>
    <dataValidation allowBlank="1" showDropDown="1" sqref="G2:H120" xr:uid="{00000000-0002-0000-0600-000001000000}"/>
    <dataValidation type="custom" allowBlank="1" showDropDown="1" sqref="A2:A120 F2:F120" xr:uid="{00000000-0002-0000-0600-000002000000}"/>
  </dataValidations>
  <hyperlinks>
    <hyperlink ref="J2" r:id="rId1" xr:uid="{00000000-0004-0000-0600-000000000000}"/>
  </hyperlinks>
  <pageMargins left="0.7" right="0.7" top="0.75" bottom="0.75" header="0" footer="0"/>
  <pageSetup orientation="landscape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2.6640625" customWidth="1"/>
    <col min="2" max="2" width="25.6640625" customWidth="1"/>
    <col min="3" max="3" width="14.109375" customWidth="1"/>
    <col min="4" max="4" width="24.88671875" customWidth="1"/>
    <col min="5" max="5" width="25.33203125" customWidth="1"/>
    <col min="6" max="6" width="24.44140625" customWidth="1"/>
    <col min="7" max="7" width="18.88671875" customWidth="1"/>
    <col min="8" max="8" width="18.44140625" customWidth="1"/>
  </cols>
  <sheetData>
    <row r="1" spans="1:8" ht="22.5" customHeight="1" x14ac:dyDescent="0.25">
      <c r="A1" s="116" t="s">
        <v>0</v>
      </c>
      <c r="B1" s="117" t="s">
        <v>2</v>
      </c>
      <c r="C1" s="116" t="s">
        <v>3</v>
      </c>
      <c r="D1" s="117" t="s">
        <v>4</v>
      </c>
      <c r="E1" s="116" t="s">
        <v>6</v>
      </c>
      <c r="F1" s="116" t="s">
        <v>10</v>
      </c>
      <c r="G1" s="6" t="s">
        <v>13</v>
      </c>
      <c r="H1" s="5" t="s">
        <v>16</v>
      </c>
    </row>
    <row r="2" spans="1:8" ht="22.5" customHeight="1" x14ac:dyDescent="0.25">
      <c r="A2" s="16">
        <v>1</v>
      </c>
      <c r="B2" s="19" t="s">
        <v>1575</v>
      </c>
      <c r="C2" s="19" t="s">
        <v>20</v>
      </c>
      <c r="D2" s="19" t="s">
        <v>1579</v>
      </c>
      <c r="E2" s="19" t="s">
        <v>1581</v>
      </c>
      <c r="F2" s="39" t="s">
        <v>1583</v>
      </c>
      <c r="G2" s="146" t="s">
        <v>1585</v>
      </c>
      <c r="H2" s="146" t="s">
        <v>1586</v>
      </c>
    </row>
    <row r="3" spans="1:8" ht="22.5" customHeight="1" x14ac:dyDescent="0.25">
      <c r="A3" s="42">
        <v>2</v>
      </c>
      <c r="B3" s="145" t="s">
        <v>1590</v>
      </c>
      <c r="C3" s="145" t="s">
        <v>44</v>
      </c>
      <c r="D3" s="145" t="s">
        <v>1592</v>
      </c>
      <c r="E3" s="145" t="s">
        <v>1593</v>
      </c>
      <c r="F3" s="148" t="s">
        <v>1595</v>
      </c>
      <c r="G3" s="146" t="s">
        <v>1597</v>
      </c>
      <c r="H3" s="146" t="s">
        <v>1600</v>
      </c>
    </row>
    <row r="4" spans="1:8" ht="22.5" customHeight="1" x14ac:dyDescent="0.25">
      <c r="A4" s="16">
        <v>3</v>
      </c>
      <c r="B4" s="19" t="s">
        <v>1602</v>
      </c>
      <c r="C4" s="19" t="s">
        <v>44</v>
      </c>
      <c r="D4" s="19" t="s">
        <v>1605</v>
      </c>
      <c r="E4" s="19" t="s">
        <v>1606</v>
      </c>
      <c r="F4" s="39" t="s">
        <v>1607</v>
      </c>
      <c r="G4" s="146" t="s">
        <v>1609</v>
      </c>
      <c r="H4" s="146" t="s">
        <v>1610</v>
      </c>
    </row>
    <row r="5" spans="1:8" ht="22.5" customHeight="1" x14ac:dyDescent="0.25">
      <c r="A5" s="42">
        <v>4</v>
      </c>
      <c r="B5" s="145" t="s">
        <v>1614</v>
      </c>
      <c r="C5" s="145" t="s">
        <v>20</v>
      </c>
      <c r="D5" s="145" t="s">
        <v>1619</v>
      </c>
      <c r="E5" s="145" t="s">
        <v>1620</v>
      </c>
      <c r="F5" s="148" t="s">
        <v>1622</v>
      </c>
      <c r="G5" s="146" t="s">
        <v>1623</v>
      </c>
      <c r="H5" s="146" t="s">
        <v>1624</v>
      </c>
    </row>
    <row r="6" spans="1:8" ht="22.5" customHeight="1" x14ac:dyDescent="0.25">
      <c r="A6" s="16">
        <v>5</v>
      </c>
      <c r="B6" s="19" t="s">
        <v>1626</v>
      </c>
      <c r="C6" s="19" t="s">
        <v>20</v>
      </c>
      <c r="D6" s="19" t="s">
        <v>1628</v>
      </c>
      <c r="E6" s="19" t="s">
        <v>1631</v>
      </c>
      <c r="F6" s="39" t="s">
        <v>1634</v>
      </c>
      <c r="G6" s="146" t="s">
        <v>1636</v>
      </c>
      <c r="H6" s="146" t="s">
        <v>1637</v>
      </c>
    </row>
    <row r="7" spans="1:8" ht="22.5" customHeight="1" x14ac:dyDescent="0.25">
      <c r="A7" s="42">
        <v>6</v>
      </c>
      <c r="B7" s="145" t="s">
        <v>1638</v>
      </c>
      <c r="C7" s="145" t="s">
        <v>44</v>
      </c>
      <c r="D7" s="145" t="s">
        <v>1640</v>
      </c>
      <c r="E7" s="145" t="s">
        <v>1641</v>
      </c>
      <c r="F7" s="148" t="s">
        <v>1643</v>
      </c>
      <c r="G7" s="146" t="s">
        <v>1645</v>
      </c>
      <c r="H7" s="146" t="s">
        <v>1646</v>
      </c>
    </row>
    <row r="8" spans="1:8" ht="22.5" customHeight="1" x14ac:dyDescent="0.25">
      <c r="A8" s="16">
        <v>7</v>
      </c>
      <c r="B8" s="19" t="s">
        <v>1649</v>
      </c>
      <c r="C8" s="19" t="s">
        <v>20</v>
      </c>
      <c r="D8" s="19" t="s">
        <v>1650</v>
      </c>
      <c r="E8" s="19" t="s">
        <v>1651</v>
      </c>
      <c r="F8" s="39" t="s">
        <v>1654</v>
      </c>
      <c r="G8" s="146" t="s">
        <v>1655</v>
      </c>
      <c r="H8" s="146" t="s">
        <v>1658</v>
      </c>
    </row>
    <row r="9" spans="1:8" ht="22.5" customHeight="1" x14ac:dyDescent="0.25">
      <c r="A9" s="42">
        <v>8</v>
      </c>
      <c r="B9" s="145" t="s">
        <v>1662</v>
      </c>
      <c r="C9" s="145" t="s">
        <v>44</v>
      </c>
      <c r="D9" s="145" t="s">
        <v>1664</v>
      </c>
      <c r="E9" s="145" t="s">
        <v>1666</v>
      </c>
      <c r="F9" s="148" t="s">
        <v>1668</v>
      </c>
      <c r="G9" s="146" t="s">
        <v>1669</v>
      </c>
      <c r="H9" s="146" t="s">
        <v>1670</v>
      </c>
    </row>
    <row r="10" spans="1:8" ht="22.5" customHeight="1" x14ac:dyDescent="0.25">
      <c r="A10" s="16">
        <v>9</v>
      </c>
      <c r="B10" s="19" t="s">
        <v>1673</v>
      </c>
      <c r="C10" s="19" t="s">
        <v>44</v>
      </c>
      <c r="D10" s="19" t="s">
        <v>1675</v>
      </c>
      <c r="E10" s="19" t="s">
        <v>1677</v>
      </c>
      <c r="F10" s="39" t="s">
        <v>1679</v>
      </c>
      <c r="G10" s="146" t="s">
        <v>1682</v>
      </c>
      <c r="H10" s="146" t="s">
        <v>1683</v>
      </c>
    </row>
    <row r="11" spans="1:8" ht="22.5" customHeight="1" x14ac:dyDescent="0.25">
      <c r="A11" s="42">
        <v>10</v>
      </c>
      <c r="B11" s="145" t="s">
        <v>1686</v>
      </c>
      <c r="C11" s="145" t="s">
        <v>44</v>
      </c>
      <c r="D11" s="145" t="s">
        <v>1687</v>
      </c>
      <c r="E11" s="145" t="s">
        <v>1689</v>
      </c>
      <c r="F11" s="148" t="s">
        <v>1691</v>
      </c>
      <c r="G11" s="146" t="s">
        <v>1692</v>
      </c>
      <c r="H11" s="146" t="s">
        <v>1694</v>
      </c>
    </row>
    <row r="12" spans="1:8" ht="22.5" customHeight="1" x14ac:dyDescent="0.25">
      <c r="A12" s="16">
        <v>11</v>
      </c>
      <c r="B12" s="19" t="s">
        <v>1696</v>
      </c>
      <c r="C12" s="19" t="s">
        <v>44</v>
      </c>
      <c r="D12" s="19" t="s">
        <v>1697</v>
      </c>
      <c r="E12" s="19" t="s">
        <v>1699</v>
      </c>
      <c r="F12" s="39" t="s">
        <v>1701</v>
      </c>
      <c r="G12" s="146" t="s">
        <v>1703</v>
      </c>
      <c r="H12" s="146" t="s">
        <v>1705</v>
      </c>
    </row>
    <row r="13" spans="1:8" ht="22.5" customHeight="1" x14ac:dyDescent="0.25">
      <c r="A13" s="42">
        <v>12</v>
      </c>
      <c r="B13" s="145" t="s">
        <v>1707</v>
      </c>
      <c r="C13" s="145" t="s">
        <v>20</v>
      </c>
      <c r="D13" s="145" t="s">
        <v>1709</v>
      </c>
      <c r="E13" s="145" t="s">
        <v>1711</v>
      </c>
      <c r="F13" s="148" t="s">
        <v>1712</v>
      </c>
      <c r="G13" s="146" t="s">
        <v>1714</v>
      </c>
      <c r="H13" s="146" t="s">
        <v>1716</v>
      </c>
    </row>
    <row r="14" spans="1:8" ht="22.5" customHeight="1" x14ac:dyDescent="0.25">
      <c r="A14" s="16">
        <v>13</v>
      </c>
      <c r="B14" s="19" t="s">
        <v>1719</v>
      </c>
      <c r="C14" s="19" t="s">
        <v>44</v>
      </c>
      <c r="D14" s="19" t="s">
        <v>1723</v>
      </c>
      <c r="E14" s="19" t="s">
        <v>1724</v>
      </c>
      <c r="F14" s="39" t="s">
        <v>1726</v>
      </c>
      <c r="G14" s="146" t="s">
        <v>1727</v>
      </c>
      <c r="H14" s="146" t="s">
        <v>1728</v>
      </c>
    </row>
    <row r="15" spans="1:8" ht="22.5" customHeight="1" x14ac:dyDescent="0.25">
      <c r="A15" s="42">
        <v>14</v>
      </c>
      <c r="B15" s="145" t="s">
        <v>1731</v>
      </c>
      <c r="C15" s="145" t="s">
        <v>20</v>
      </c>
      <c r="D15" s="145" t="s">
        <v>1733</v>
      </c>
      <c r="E15" s="145" t="s">
        <v>1735</v>
      </c>
      <c r="F15" s="148" t="s">
        <v>1738</v>
      </c>
      <c r="G15" s="146" t="s">
        <v>1703</v>
      </c>
      <c r="H15" s="146" t="s">
        <v>1741</v>
      </c>
    </row>
    <row r="16" spans="1:8" ht="22.5" customHeight="1" x14ac:dyDescent="0.25">
      <c r="A16" s="16">
        <v>15</v>
      </c>
      <c r="B16" s="19" t="s">
        <v>1744</v>
      </c>
      <c r="C16" s="19" t="s">
        <v>20</v>
      </c>
      <c r="D16" s="19" t="s">
        <v>1745</v>
      </c>
      <c r="E16" s="19" t="s">
        <v>1747</v>
      </c>
      <c r="F16" s="39" t="s">
        <v>1748</v>
      </c>
      <c r="G16" s="146" t="s">
        <v>1749</v>
      </c>
      <c r="H16" s="146" t="s">
        <v>1750</v>
      </c>
    </row>
    <row r="17" spans="1:8" ht="22.5" customHeight="1" x14ac:dyDescent="0.25">
      <c r="A17" s="42">
        <v>16</v>
      </c>
      <c r="B17" s="145" t="s">
        <v>1754</v>
      </c>
      <c r="C17" s="145" t="s">
        <v>20</v>
      </c>
      <c r="D17" s="145" t="s">
        <v>1756</v>
      </c>
      <c r="E17" s="145" t="s">
        <v>1757</v>
      </c>
      <c r="F17" s="148" t="s">
        <v>1758</v>
      </c>
      <c r="G17" s="146" t="s">
        <v>1759</v>
      </c>
      <c r="H17" s="146" t="s">
        <v>1761</v>
      </c>
    </row>
    <row r="18" spans="1:8" ht="22.5" customHeight="1" x14ac:dyDescent="0.25">
      <c r="A18" s="16">
        <v>17</v>
      </c>
      <c r="B18" s="19" t="s">
        <v>1764</v>
      </c>
      <c r="C18" s="19" t="s">
        <v>44</v>
      </c>
      <c r="D18" s="19" t="s">
        <v>1766</v>
      </c>
      <c r="E18" s="19" t="s">
        <v>1767</v>
      </c>
      <c r="F18" s="39" t="s">
        <v>1769</v>
      </c>
      <c r="G18" s="146" t="s">
        <v>1770</v>
      </c>
      <c r="H18" s="146" t="s">
        <v>1771</v>
      </c>
    </row>
    <row r="19" spans="1:8" ht="22.5" customHeight="1" x14ac:dyDescent="0.25">
      <c r="A19" s="42">
        <v>18</v>
      </c>
      <c r="B19" s="145" t="s">
        <v>1775</v>
      </c>
      <c r="C19" s="145" t="s">
        <v>20</v>
      </c>
      <c r="D19" s="145" t="s">
        <v>1778</v>
      </c>
      <c r="E19" s="145" t="s">
        <v>1780</v>
      </c>
      <c r="F19" s="148" t="s">
        <v>1781</v>
      </c>
      <c r="G19" s="146" t="s">
        <v>1783</v>
      </c>
      <c r="H19" s="146" t="s">
        <v>1785</v>
      </c>
    </row>
    <row r="20" spans="1:8" ht="22.5" customHeight="1" x14ac:dyDescent="0.25">
      <c r="A20" s="16">
        <v>19</v>
      </c>
      <c r="B20" s="19" t="s">
        <v>1788</v>
      </c>
      <c r="C20" s="19" t="s">
        <v>44</v>
      </c>
      <c r="D20" s="19" t="s">
        <v>1675</v>
      </c>
      <c r="E20" s="19" t="s">
        <v>1677</v>
      </c>
      <c r="F20" s="39" t="s">
        <v>1679</v>
      </c>
      <c r="G20" s="146" t="s">
        <v>1682</v>
      </c>
      <c r="H20" s="146" t="s">
        <v>1795</v>
      </c>
    </row>
    <row r="21" spans="1:8" ht="22.5" customHeight="1" x14ac:dyDescent="0.25">
      <c r="A21" s="42">
        <v>20</v>
      </c>
      <c r="B21" s="145" t="s">
        <v>1800</v>
      </c>
      <c r="C21" s="145" t="s">
        <v>44</v>
      </c>
      <c r="D21" s="145" t="s">
        <v>1802</v>
      </c>
      <c r="E21" s="145" t="s">
        <v>1803</v>
      </c>
      <c r="F21" s="148" t="s">
        <v>1805</v>
      </c>
      <c r="G21" s="146" t="s">
        <v>1807</v>
      </c>
      <c r="H21" s="146" t="s">
        <v>1808</v>
      </c>
    </row>
    <row r="22" spans="1:8" ht="22.5" customHeight="1" x14ac:dyDescent="0.25">
      <c r="A22" s="16">
        <v>21</v>
      </c>
      <c r="B22" s="19" t="s">
        <v>1788</v>
      </c>
      <c r="C22" s="19" t="s">
        <v>44</v>
      </c>
      <c r="D22" s="19" t="s">
        <v>1675</v>
      </c>
      <c r="E22" s="19" t="s">
        <v>1816</v>
      </c>
      <c r="F22" s="39" t="s">
        <v>1679</v>
      </c>
      <c r="G22" s="146" t="s">
        <v>1682</v>
      </c>
      <c r="H22" s="146" t="s">
        <v>1818</v>
      </c>
    </row>
    <row r="23" spans="1:8" ht="22.5" customHeight="1" x14ac:dyDescent="0.25">
      <c r="A23" s="42">
        <v>22</v>
      </c>
      <c r="B23" s="145" t="s">
        <v>1820</v>
      </c>
      <c r="C23" s="145" t="s">
        <v>44</v>
      </c>
      <c r="D23" s="145" t="s">
        <v>1821</v>
      </c>
      <c r="E23" s="145" t="s">
        <v>1822</v>
      </c>
      <c r="F23" s="145" t="s">
        <v>1824</v>
      </c>
      <c r="G23" s="146" t="s">
        <v>1825</v>
      </c>
      <c r="H23" s="146" t="s">
        <v>1826</v>
      </c>
    </row>
    <row r="24" spans="1:8" ht="22.5" customHeight="1" x14ac:dyDescent="0.25">
      <c r="A24" s="16">
        <v>23</v>
      </c>
      <c r="B24" s="19" t="s">
        <v>1828</v>
      </c>
      <c r="C24" s="19" t="s">
        <v>44</v>
      </c>
      <c r="D24" s="19" t="s">
        <v>1831</v>
      </c>
      <c r="E24" s="19" t="s">
        <v>1832</v>
      </c>
      <c r="F24" s="39" t="s">
        <v>1835</v>
      </c>
      <c r="G24" s="146" t="s">
        <v>1837</v>
      </c>
      <c r="H24" s="146" t="s">
        <v>1839</v>
      </c>
    </row>
    <row r="25" spans="1:8" ht="22.5" customHeight="1" x14ac:dyDescent="0.25">
      <c r="A25" s="42">
        <v>24</v>
      </c>
      <c r="B25" s="145" t="s">
        <v>1841</v>
      </c>
      <c r="C25" s="145" t="s">
        <v>44</v>
      </c>
      <c r="D25" s="145" t="s">
        <v>1845</v>
      </c>
      <c r="E25" s="145" t="s">
        <v>1846</v>
      </c>
      <c r="F25" s="148" t="s">
        <v>1848</v>
      </c>
      <c r="G25" s="146" t="s">
        <v>1850</v>
      </c>
      <c r="H25" s="146" t="s">
        <v>1853</v>
      </c>
    </row>
    <row r="26" spans="1:8" ht="22.5" customHeight="1" x14ac:dyDescent="0.25">
      <c r="A26" s="16">
        <v>25</v>
      </c>
      <c r="B26" s="19" t="s">
        <v>1854</v>
      </c>
      <c r="C26" s="19" t="s">
        <v>44</v>
      </c>
      <c r="D26" s="19" t="s">
        <v>1858</v>
      </c>
      <c r="E26" s="19" t="s">
        <v>1859</v>
      </c>
      <c r="F26" s="39" t="s">
        <v>1862</v>
      </c>
      <c r="G26" s="146" t="s">
        <v>1864</v>
      </c>
      <c r="H26" s="146" t="s">
        <v>1866</v>
      </c>
    </row>
    <row r="27" spans="1:8" ht="22.5" customHeight="1" x14ac:dyDescent="0.25">
      <c r="A27" s="42">
        <v>26</v>
      </c>
      <c r="B27" s="145" t="s">
        <v>1841</v>
      </c>
      <c r="C27" s="145" t="s">
        <v>44</v>
      </c>
      <c r="D27" s="145" t="s">
        <v>1845</v>
      </c>
      <c r="E27" s="145" t="s">
        <v>1846</v>
      </c>
      <c r="F27" s="148" t="s">
        <v>1848</v>
      </c>
      <c r="G27" s="146" t="s">
        <v>1850</v>
      </c>
      <c r="H27" s="146" t="s">
        <v>1876</v>
      </c>
    </row>
    <row r="28" spans="1:8" ht="22.5" customHeight="1" x14ac:dyDescent="0.25">
      <c r="A28" s="16">
        <v>27</v>
      </c>
      <c r="B28" s="19" t="s">
        <v>1880</v>
      </c>
      <c r="C28" s="19" t="s">
        <v>20</v>
      </c>
      <c r="D28" s="19" t="s">
        <v>1885</v>
      </c>
      <c r="E28" s="19" t="s">
        <v>1887</v>
      </c>
      <c r="F28" s="39" t="s">
        <v>1890</v>
      </c>
      <c r="G28" s="146" t="s">
        <v>1892</v>
      </c>
      <c r="H28" s="146" t="s">
        <v>1894</v>
      </c>
    </row>
    <row r="29" spans="1:8" ht="22.5" customHeight="1" x14ac:dyDescent="0.25">
      <c r="A29" s="42">
        <v>28</v>
      </c>
      <c r="B29" s="145" t="s">
        <v>1902</v>
      </c>
      <c r="C29" s="145" t="s">
        <v>20</v>
      </c>
      <c r="D29" s="145" t="s">
        <v>1905</v>
      </c>
      <c r="E29" s="145" t="s">
        <v>1907</v>
      </c>
      <c r="F29" s="148" t="s">
        <v>1910</v>
      </c>
      <c r="G29" s="146" t="s">
        <v>1912</v>
      </c>
      <c r="H29" s="146" t="s">
        <v>1916</v>
      </c>
    </row>
    <row r="30" spans="1:8" ht="22.5" customHeight="1" x14ac:dyDescent="0.25">
      <c r="A30" s="16">
        <v>29</v>
      </c>
      <c r="B30" s="19" t="s">
        <v>1880</v>
      </c>
      <c r="C30" s="19" t="s">
        <v>20</v>
      </c>
      <c r="D30" s="19" t="s">
        <v>1924</v>
      </c>
      <c r="E30" s="19" t="s">
        <v>1887</v>
      </c>
      <c r="F30" s="39" t="s">
        <v>1890</v>
      </c>
      <c r="G30" s="146" t="s">
        <v>1929</v>
      </c>
      <c r="H30" s="146" t="s">
        <v>1894</v>
      </c>
    </row>
    <row r="31" spans="1:8" ht="22.5" customHeight="1" x14ac:dyDescent="0.25">
      <c r="A31" s="42">
        <v>30</v>
      </c>
      <c r="B31" s="145" t="s">
        <v>1935</v>
      </c>
      <c r="C31" s="145" t="s">
        <v>44</v>
      </c>
      <c r="D31" s="145" t="s">
        <v>1938</v>
      </c>
      <c r="E31" s="145" t="s">
        <v>1941</v>
      </c>
      <c r="F31" s="148" t="s">
        <v>1943</v>
      </c>
      <c r="G31" s="146" t="s">
        <v>1946</v>
      </c>
      <c r="H31" s="146" t="s">
        <v>1948</v>
      </c>
    </row>
    <row r="32" spans="1:8" ht="22.5" customHeight="1" x14ac:dyDescent="0.25">
      <c r="A32" s="16">
        <v>31</v>
      </c>
      <c r="B32" s="19" t="s">
        <v>1953</v>
      </c>
      <c r="C32" s="19" t="s">
        <v>44</v>
      </c>
      <c r="D32" s="19" t="s">
        <v>1959</v>
      </c>
      <c r="E32" s="19" t="s">
        <v>1960</v>
      </c>
      <c r="F32" s="39" t="s">
        <v>1962</v>
      </c>
      <c r="G32" s="146" t="s">
        <v>1964</v>
      </c>
      <c r="H32" s="146" t="s">
        <v>1966</v>
      </c>
    </row>
    <row r="33" spans="1:8" ht="22.5" customHeight="1" x14ac:dyDescent="0.25">
      <c r="A33" s="42">
        <v>32</v>
      </c>
      <c r="B33" s="145" t="s">
        <v>1972</v>
      </c>
      <c r="C33" s="145" t="s">
        <v>20</v>
      </c>
      <c r="D33" s="145" t="s">
        <v>1976</v>
      </c>
      <c r="E33" s="145" t="s">
        <v>1977</v>
      </c>
      <c r="F33" s="148" t="s">
        <v>1979</v>
      </c>
      <c r="G33" s="146" t="s">
        <v>1980</v>
      </c>
      <c r="H33" s="146" t="s">
        <v>1982</v>
      </c>
    </row>
    <row r="34" spans="1:8" ht="22.5" customHeight="1" x14ac:dyDescent="0.25">
      <c r="A34" s="16">
        <v>33</v>
      </c>
      <c r="B34" s="158" t="s">
        <v>1989</v>
      </c>
      <c r="C34" s="158" t="s">
        <v>44</v>
      </c>
      <c r="D34" s="158" t="s">
        <v>1993</v>
      </c>
      <c r="E34" s="167"/>
      <c r="F34" s="167"/>
      <c r="G34" s="146" t="s">
        <v>2001</v>
      </c>
      <c r="H34" s="146" t="s">
        <v>2002</v>
      </c>
    </row>
    <row r="35" spans="1:8" ht="15.75" customHeight="1" x14ac:dyDescent="0.25"/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ustomSheetViews>
    <customSheetView guid="{D79E30B9-536F-465A-A3B6-199ECA9A1D67}" filter="1" showAutoFilter="1">
      <pageMargins left="0.7" right="0.7" top="0.75" bottom="0.75" header="0.3" footer="0.3"/>
      <autoFilter ref="A1:H34" xr:uid="{AD3E30B4-0C53-43BB-B385-678214F10651}"/>
      <extLst>
        <ext uri="GoogleSheetsCustomDataVersion1">
          <go:sheetsCustomData xmlns:go="http://customooxmlschemas.google.com/" filterViewId="1720238861"/>
        </ext>
      </extLst>
    </customSheetView>
  </customSheetViews>
  <dataValidations count="3">
    <dataValidation type="list" allowBlank="1" sqref="C2:C34" xr:uid="{00000000-0002-0000-0700-000000000000}">
      <formula1>"Laki-laki,Perempuan"</formula1>
    </dataValidation>
    <dataValidation allowBlank="1" showDropDown="1" sqref="G2:H34" xr:uid="{00000000-0002-0000-0700-000001000000}"/>
    <dataValidation type="custom" allowBlank="1" showDropDown="1" sqref="A2:A34 F2:F34" xr:uid="{00000000-0002-0000-0700-000002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000"/>
  <sheetViews>
    <sheetView tabSelected="1" workbookViewId="0"/>
  </sheetViews>
  <sheetFormatPr defaultColWidth="12.6640625" defaultRowHeight="15" customHeight="1" x14ac:dyDescent="0.25"/>
  <cols>
    <col min="1" max="1" width="12.6640625" customWidth="1"/>
    <col min="2" max="2" width="25.6640625" customWidth="1"/>
    <col min="3" max="3" width="14.109375" customWidth="1"/>
    <col min="4" max="4" width="24.88671875" customWidth="1"/>
    <col min="5" max="5" width="25.33203125" customWidth="1"/>
    <col min="6" max="6" width="24.44140625" customWidth="1"/>
    <col min="7" max="7" width="20.33203125" customWidth="1"/>
    <col min="8" max="8" width="21.6640625" customWidth="1"/>
  </cols>
  <sheetData>
    <row r="1" spans="1:8" ht="22.5" customHeight="1" x14ac:dyDescent="0.25">
      <c r="A1" s="116" t="s">
        <v>0</v>
      </c>
      <c r="B1" s="117" t="s">
        <v>2</v>
      </c>
      <c r="C1" s="116" t="s">
        <v>3</v>
      </c>
      <c r="D1" s="117" t="s">
        <v>4</v>
      </c>
      <c r="E1" s="116" t="s">
        <v>6</v>
      </c>
      <c r="F1" s="116" t="s">
        <v>10</v>
      </c>
      <c r="G1" s="5" t="s">
        <v>13</v>
      </c>
      <c r="H1" s="6" t="s">
        <v>16</v>
      </c>
    </row>
    <row r="2" spans="1:8" ht="22.5" customHeight="1" x14ac:dyDescent="0.25">
      <c r="A2" s="160">
        <v>1</v>
      </c>
      <c r="B2" s="161" t="s">
        <v>1852</v>
      </c>
      <c r="C2" s="19" t="s">
        <v>44</v>
      </c>
      <c r="D2" s="161" t="s">
        <v>1856</v>
      </c>
      <c r="E2" s="19" t="s">
        <v>1857</v>
      </c>
      <c r="F2" s="39" t="s">
        <v>1860</v>
      </c>
      <c r="G2" s="162" t="s">
        <v>1863</v>
      </c>
      <c r="H2" s="162" t="s">
        <v>1868</v>
      </c>
    </row>
    <row r="3" spans="1:8" ht="22.5" customHeight="1" x14ac:dyDescent="0.25">
      <c r="A3" s="163">
        <v>2</v>
      </c>
      <c r="B3" s="164" t="s">
        <v>1875</v>
      </c>
      <c r="C3" s="145" t="s">
        <v>44</v>
      </c>
      <c r="D3" s="164" t="s">
        <v>1878</v>
      </c>
      <c r="E3" s="145" t="s">
        <v>1879</v>
      </c>
      <c r="F3" s="148" t="s">
        <v>1882</v>
      </c>
      <c r="G3" s="162" t="s">
        <v>1883</v>
      </c>
      <c r="H3" s="162" t="s">
        <v>1886</v>
      </c>
    </row>
    <row r="4" spans="1:8" ht="22.5" customHeight="1" x14ac:dyDescent="0.25">
      <c r="A4" s="160">
        <v>3</v>
      </c>
      <c r="B4" s="161" t="s">
        <v>1889</v>
      </c>
      <c r="C4" s="19" t="s">
        <v>20</v>
      </c>
      <c r="D4" s="161" t="s">
        <v>1893</v>
      </c>
      <c r="E4" s="19" t="s">
        <v>1895</v>
      </c>
      <c r="F4" s="39" t="s">
        <v>1896</v>
      </c>
      <c r="G4" s="162" t="s">
        <v>1898</v>
      </c>
      <c r="H4" s="162" t="s">
        <v>1900</v>
      </c>
    </row>
    <row r="5" spans="1:8" ht="22.5" customHeight="1" x14ac:dyDescent="0.25">
      <c r="A5" s="163">
        <v>4</v>
      </c>
      <c r="B5" s="165" t="s">
        <v>1906</v>
      </c>
      <c r="C5" s="145" t="s">
        <v>20</v>
      </c>
      <c r="D5" s="164" t="s">
        <v>1914</v>
      </c>
      <c r="E5" s="145" t="s">
        <v>1917</v>
      </c>
      <c r="F5" s="148" t="s">
        <v>1919</v>
      </c>
      <c r="G5" s="162" t="s">
        <v>1921</v>
      </c>
      <c r="H5" s="162" t="s">
        <v>1922</v>
      </c>
    </row>
    <row r="6" spans="1:8" ht="22.5" customHeight="1" x14ac:dyDescent="0.25">
      <c r="A6" s="160">
        <v>5</v>
      </c>
      <c r="B6" s="166" t="s">
        <v>1927</v>
      </c>
      <c r="C6" s="19" t="s">
        <v>20</v>
      </c>
      <c r="D6" s="161" t="s">
        <v>1930</v>
      </c>
      <c r="E6" s="19" t="s">
        <v>1931</v>
      </c>
      <c r="F6" s="39" t="s">
        <v>1932</v>
      </c>
      <c r="G6" s="162" t="s">
        <v>1934</v>
      </c>
      <c r="H6" s="162" t="s">
        <v>1936</v>
      </c>
    </row>
    <row r="7" spans="1:8" ht="22.5" customHeight="1" x14ac:dyDescent="0.25">
      <c r="A7" s="163">
        <v>6</v>
      </c>
      <c r="B7" s="164" t="s">
        <v>1942</v>
      </c>
      <c r="C7" s="145" t="s">
        <v>20</v>
      </c>
      <c r="D7" s="164" t="s">
        <v>1949</v>
      </c>
      <c r="E7" s="145" t="s">
        <v>1950</v>
      </c>
      <c r="F7" s="148" t="s">
        <v>1952</v>
      </c>
      <c r="G7" s="162" t="s">
        <v>1956</v>
      </c>
      <c r="H7" s="162" t="s">
        <v>1957</v>
      </c>
    </row>
    <row r="8" spans="1:8" ht="22.5" customHeight="1" x14ac:dyDescent="0.25">
      <c r="A8" s="160">
        <v>7</v>
      </c>
      <c r="B8" s="161" t="s">
        <v>1963</v>
      </c>
      <c r="C8" s="19" t="s">
        <v>44</v>
      </c>
      <c r="D8" s="161" t="s">
        <v>1967</v>
      </c>
      <c r="E8" s="19" t="s">
        <v>1969</v>
      </c>
      <c r="F8" s="39" t="s">
        <v>1971</v>
      </c>
      <c r="G8" s="162" t="s">
        <v>1973</v>
      </c>
      <c r="H8" s="162" t="s">
        <v>1974</v>
      </c>
    </row>
    <row r="9" spans="1:8" ht="22.5" customHeight="1" x14ac:dyDescent="0.25">
      <c r="A9" s="163">
        <v>8</v>
      </c>
      <c r="B9" s="164" t="s">
        <v>1978</v>
      </c>
      <c r="C9" s="145" t="s">
        <v>20</v>
      </c>
      <c r="D9" s="164" t="s">
        <v>1981</v>
      </c>
      <c r="E9" s="145" t="s">
        <v>1983</v>
      </c>
      <c r="F9" s="148" t="s">
        <v>1986</v>
      </c>
      <c r="G9" s="162" t="s">
        <v>1988</v>
      </c>
      <c r="H9" s="162" t="s">
        <v>1990</v>
      </c>
    </row>
    <row r="10" spans="1:8" ht="22.5" customHeight="1" x14ac:dyDescent="0.25">
      <c r="A10" s="160">
        <v>9</v>
      </c>
      <c r="B10" s="166" t="s">
        <v>1996</v>
      </c>
      <c r="C10" s="19" t="s">
        <v>20</v>
      </c>
      <c r="D10" s="161" t="s">
        <v>1981</v>
      </c>
      <c r="E10" s="19" t="s">
        <v>2000</v>
      </c>
      <c r="F10" s="39" t="s">
        <v>2003</v>
      </c>
      <c r="G10" s="162" t="s">
        <v>1988</v>
      </c>
      <c r="H10" s="162" t="s">
        <v>1990</v>
      </c>
    </row>
    <row r="11" spans="1:8" ht="22.5" customHeight="1" x14ac:dyDescent="0.25">
      <c r="A11" s="163">
        <v>10</v>
      </c>
      <c r="B11" s="165" t="s">
        <v>2007</v>
      </c>
      <c r="C11" s="145" t="s">
        <v>20</v>
      </c>
      <c r="D11" s="164" t="s">
        <v>1981</v>
      </c>
      <c r="E11" s="145" t="s">
        <v>1931</v>
      </c>
      <c r="F11" s="148" t="s">
        <v>2009</v>
      </c>
      <c r="G11" s="162" t="s">
        <v>1988</v>
      </c>
      <c r="H11" s="162" t="s">
        <v>1990</v>
      </c>
    </row>
    <row r="12" spans="1:8" ht="22.5" customHeight="1" x14ac:dyDescent="0.25">
      <c r="A12" s="160">
        <v>11</v>
      </c>
      <c r="B12" s="161" t="s">
        <v>2012</v>
      </c>
      <c r="C12" s="19" t="s">
        <v>20</v>
      </c>
      <c r="D12" s="161" t="s">
        <v>1981</v>
      </c>
      <c r="E12" s="19" t="s">
        <v>2015</v>
      </c>
      <c r="F12" s="39" t="s">
        <v>2017</v>
      </c>
      <c r="G12" s="162" t="s">
        <v>1988</v>
      </c>
      <c r="H12" s="162" t="s">
        <v>1990</v>
      </c>
    </row>
    <row r="13" spans="1:8" ht="22.5" customHeight="1" x14ac:dyDescent="0.25">
      <c r="A13" s="163">
        <v>12</v>
      </c>
      <c r="B13" s="165" t="s">
        <v>2019</v>
      </c>
      <c r="C13" s="145" t="s">
        <v>44</v>
      </c>
      <c r="D13" s="164" t="s">
        <v>2021</v>
      </c>
      <c r="E13" s="145" t="s">
        <v>2022</v>
      </c>
      <c r="F13" s="148" t="s">
        <v>2024</v>
      </c>
      <c r="G13" s="162" t="s">
        <v>2025</v>
      </c>
      <c r="H13" s="162" t="s">
        <v>2027</v>
      </c>
    </row>
    <row r="14" spans="1:8" ht="22.5" customHeight="1" x14ac:dyDescent="0.25">
      <c r="A14" s="160">
        <v>13</v>
      </c>
      <c r="B14" s="166" t="s">
        <v>2028</v>
      </c>
      <c r="C14" s="19" t="s">
        <v>44</v>
      </c>
      <c r="D14" s="161" t="s">
        <v>2030</v>
      </c>
      <c r="E14" s="19" t="s">
        <v>2032</v>
      </c>
      <c r="F14" s="39" t="s">
        <v>2033</v>
      </c>
      <c r="G14" s="162" t="s">
        <v>2034</v>
      </c>
      <c r="H14" s="162" t="s">
        <v>2036</v>
      </c>
    </row>
    <row r="15" spans="1:8" ht="22.5" customHeight="1" x14ac:dyDescent="0.25">
      <c r="A15" s="168">
        <v>14</v>
      </c>
      <c r="B15" s="169" t="s">
        <v>2038</v>
      </c>
      <c r="C15" s="145" t="s">
        <v>20</v>
      </c>
      <c r="D15" s="170" t="s">
        <v>2039</v>
      </c>
      <c r="E15" s="145" t="s">
        <v>2041</v>
      </c>
      <c r="F15" s="148" t="s">
        <v>2043</v>
      </c>
      <c r="G15" s="162" t="s">
        <v>2045</v>
      </c>
      <c r="H15" s="162" t="s">
        <v>2047</v>
      </c>
    </row>
    <row r="16" spans="1:8" ht="22.5" customHeight="1" x14ac:dyDescent="0.25">
      <c r="A16" s="171">
        <v>15</v>
      </c>
      <c r="B16" s="172" t="s">
        <v>2052</v>
      </c>
      <c r="C16" s="19" t="s">
        <v>20</v>
      </c>
      <c r="D16" s="172" t="s">
        <v>2057</v>
      </c>
      <c r="E16" s="19" t="s">
        <v>2059</v>
      </c>
      <c r="F16" s="39" t="s">
        <v>2060</v>
      </c>
      <c r="G16" s="162" t="s">
        <v>2062</v>
      </c>
      <c r="H16" s="162" t="s">
        <v>2064</v>
      </c>
    </row>
    <row r="17" spans="1:8" ht="22.5" customHeight="1" x14ac:dyDescent="0.25">
      <c r="A17" s="173">
        <v>16</v>
      </c>
      <c r="B17" s="64" t="s">
        <v>2065</v>
      </c>
      <c r="C17" s="145" t="s">
        <v>44</v>
      </c>
      <c r="D17" s="64" t="s">
        <v>2068</v>
      </c>
      <c r="E17" s="145" t="s">
        <v>2069</v>
      </c>
      <c r="F17" s="148" t="s">
        <v>2071</v>
      </c>
      <c r="G17" s="162" t="s">
        <v>2073</v>
      </c>
      <c r="H17" s="162" t="s">
        <v>2074</v>
      </c>
    </row>
    <row r="18" spans="1:8" ht="22.5" customHeight="1" x14ac:dyDescent="0.25">
      <c r="A18" s="173">
        <v>17</v>
      </c>
      <c r="B18" s="174" t="s">
        <v>2076</v>
      </c>
      <c r="C18" s="19" t="s">
        <v>44</v>
      </c>
      <c r="D18" s="64" t="s">
        <v>2078</v>
      </c>
      <c r="E18" s="19" t="s">
        <v>2079</v>
      </c>
      <c r="F18" s="39" t="s">
        <v>2081</v>
      </c>
      <c r="G18" s="162" t="s">
        <v>2082</v>
      </c>
      <c r="H18" s="162" t="s">
        <v>2084</v>
      </c>
    </row>
    <row r="19" spans="1:8" ht="22.5" customHeight="1" x14ac:dyDescent="0.25">
      <c r="A19" s="173">
        <v>18</v>
      </c>
      <c r="B19" s="174" t="s">
        <v>2088</v>
      </c>
      <c r="C19" s="145" t="s">
        <v>20</v>
      </c>
      <c r="D19" s="64" t="s">
        <v>2090</v>
      </c>
      <c r="E19" s="145" t="s">
        <v>2092</v>
      </c>
      <c r="F19" s="148" t="s">
        <v>2093</v>
      </c>
      <c r="G19" s="162" t="s">
        <v>2094</v>
      </c>
      <c r="H19" s="162" t="s">
        <v>2095</v>
      </c>
    </row>
    <row r="20" spans="1:8" ht="22.5" customHeight="1" x14ac:dyDescent="0.25">
      <c r="A20" s="173">
        <v>19</v>
      </c>
      <c r="B20" s="64" t="s">
        <v>2100</v>
      </c>
      <c r="C20" s="19" t="s">
        <v>44</v>
      </c>
      <c r="D20" s="64" t="s">
        <v>2103</v>
      </c>
      <c r="E20" s="19" t="s">
        <v>2105</v>
      </c>
      <c r="F20" s="39" t="s">
        <v>2109</v>
      </c>
      <c r="G20" s="162" t="s">
        <v>2110</v>
      </c>
      <c r="H20" s="162" t="s">
        <v>2112</v>
      </c>
    </row>
    <row r="21" spans="1:8" ht="22.5" customHeight="1" x14ac:dyDescent="0.25">
      <c r="A21" s="173">
        <v>20</v>
      </c>
      <c r="B21" s="64" t="s">
        <v>2115</v>
      </c>
      <c r="C21" s="145" t="s">
        <v>20</v>
      </c>
      <c r="D21" s="64" t="s">
        <v>2117</v>
      </c>
      <c r="E21" s="145" t="s">
        <v>2118</v>
      </c>
      <c r="F21" s="148" t="s">
        <v>2009</v>
      </c>
      <c r="G21" s="162" t="s">
        <v>2120</v>
      </c>
      <c r="H21" s="162" t="s">
        <v>2122</v>
      </c>
    </row>
    <row r="22" spans="1:8" ht="22.5" customHeight="1" x14ac:dyDescent="0.25">
      <c r="A22" s="173">
        <v>21</v>
      </c>
      <c r="B22" s="64" t="s">
        <v>2123</v>
      </c>
      <c r="C22" s="19" t="s">
        <v>44</v>
      </c>
      <c r="D22" s="64" t="s">
        <v>2125</v>
      </c>
      <c r="E22" s="19" t="s">
        <v>2127</v>
      </c>
      <c r="F22" s="39" t="s">
        <v>2130</v>
      </c>
      <c r="G22" s="162" t="s">
        <v>2131</v>
      </c>
      <c r="H22" s="162" t="s">
        <v>2133</v>
      </c>
    </row>
    <row r="23" spans="1:8" ht="22.5" customHeight="1" x14ac:dyDescent="0.25">
      <c r="A23" s="173">
        <v>22</v>
      </c>
      <c r="B23" s="64" t="s">
        <v>2136</v>
      </c>
      <c r="C23" s="145" t="s">
        <v>44</v>
      </c>
      <c r="D23" s="64" t="s">
        <v>2137</v>
      </c>
      <c r="E23" s="145" t="s">
        <v>2127</v>
      </c>
      <c r="F23" s="148" t="s">
        <v>2130</v>
      </c>
      <c r="G23" s="162" t="s">
        <v>2141</v>
      </c>
      <c r="H23" s="162" t="s">
        <v>2143</v>
      </c>
    </row>
    <row r="24" spans="1:8" ht="22.5" customHeight="1" x14ac:dyDescent="0.25">
      <c r="A24" s="173">
        <v>23</v>
      </c>
      <c r="B24" s="64" t="s">
        <v>2148</v>
      </c>
      <c r="C24" s="158" t="s">
        <v>44</v>
      </c>
      <c r="D24" s="64" t="s">
        <v>2151</v>
      </c>
      <c r="E24" s="158" t="s">
        <v>2152</v>
      </c>
      <c r="F24" s="159" t="s">
        <v>2154</v>
      </c>
      <c r="G24" s="162" t="s">
        <v>2156</v>
      </c>
      <c r="H24" s="162" t="s">
        <v>2157</v>
      </c>
    </row>
    <row r="25" spans="1:8" ht="22.5" customHeight="1" x14ac:dyDescent="0.25">
      <c r="A25" s="173">
        <v>24</v>
      </c>
      <c r="B25" s="64" t="s">
        <v>2164</v>
      </c>
      <c r="C25" s="145"/>
      <c r="D25" s="64" t="s">
        <v>2166</v>
      </c>
      <c r="F25" s="64"/>
      <c r="G25" s="162" t="s">
        <v>2168</v>
      </c>
      <c r="H25" s="162" t="s">
        <v>2169</v>
      </c>
    </row>
    <row r="26" spans="1:8" ht="22.5" customHeight="1" x14ac:dyDescent="0.25">
      <c r="A26" s="173">
        <v>25</v>
      </c>
      <c r="B26" s="174" t="s">
        <v>2171</v>
      </c>
      <c r="C26" s="19"/>
      <c r="D26" s="64" t="s">
        <v>2173</v>
      </c>
      <c r="F26" s="64"/>
      <c r="G26" s="162" t="s">
        <v>2176</v>
      </c>
      <c r="H26" s="162" t="s">
        <v>2178</v>
      </c>
    </row>
    <row r="27" spans="1:8" ht="22.5" customHeight="1" x14ac:dyDescent="0.25">
      <c r="A27" s="173">
        <v>26</v>
      </c>
      <c r="B27" s="64" t="s">
        <v>2182</v>
      </c>
      <c r="C27" s="145"/>
      <c r="D27" s="64" t="s">
        <v>2184</v>
      </c>
      <c r="F27" s="64"/>
      <c r="G27" s="162" t="s">
        <v>2185</v>
      </c>
      <c r="H27" s="162" t="s">
        <v>2186</v>
      </c>
    </row>
    <row r="28" spans="1:8" ht="22.5" customHeight="1" x14ac:dyDescent="0.25">
      <c r="A28" s="173">
        <v>27</v>
      </c>
      <c r="B28" s="64" t="s">
        <v>2191</v>
      </c>
      <c r="C28" s="19"/>
      <c r="D28" s="64" t="s">
        <v>2194</v>
      </c>
      <c r="F28" s="64"/>
      <c r="G28" s="162" t="s">
        <v>2197</v>
      </c>
      <c r="H28" s="162" t="s">
        <v>2198</v>
      </c>
    </row>
    <row r="29" spans="1:8" ht="15.75" customHeight="1" x14ac:dyDescent="0.25">
      <c r="G29" s="175"/>
      <c r="H29" s="175"/>
    </row>
    <row r="30" spans="1:8" ht="15.75" customHeight="1" x14ac:dyDescent="0.25">
      <c r="G30" s="175"/>
      <c r="H30" s="175"/>
    </row>
    <row r="31" spans="1:8" ht="15.75" customHeight="1" x14ac:dyDescent="0.25">
      <c r="G31" s="175"/>
      <c r="H31" s="175"/>
    </row>
    <row r="32" spans="1:8" ht="15.75" customHeight="1" x14ac:dyDescent="0.25">
      <c r="G32" s="175"/>
      <c r="H32" s="175"/>
    </row>
    <row r="33" spans="7:8" ht="15.75" customHeight="1" x14ac:dyDescent="0.25">
      <c r="G33" s="175"/>
      <c r="H33" s="175"/>
    </row>
    <row r="34" spans="7:8" ht="15.75" customHeight="1" x14ac:dyDescent="0.25">
      <c r="G34" s="175"/>
      <c r="H34" s="175"/>
    </row>
    <row r="35" spans="7:8" ht="15.75" customHeight="1" x14ac:dyDescent="0.25">
      <c r="G35" s="175"/>
      <c r="H35" s="175"/>
    </row>
    <row r="36" spans="7:8" ht="15.75" customHeight="1" x14ac:dyDescent="0.25">
      <c r="G36" s="175"/>
      <c r="H36" s="175"/>
    </row>
    <row r="37" spans="7:8" ht="15.75" customHeight="1" x14ac:dyDescent="0.25">
      <c r="G37" s="175"/>
      <c r="H37" s="175"/>
    </row>
    <row r="38" spans="7:8" ht="15.75" customHeight="1" x14ac:dyDescent="0.25">
      <c r="G38" s="175"/>
      <c r="H38" s="175"/>
    </row>
    <row r="39" spans="7:8" ht="15.75" customHeight="1" x14ac:dyDescent="0.25">
      <c r="G39" s="175"/>
      <c r="H39" s="175"/>
    </row>
    <row r="40" spans="7:8" ht="15.75" customHeight="1" x14ac:dyDescent="0.25">
      <c r="G40" s="175"/>
      <c r="H40" s="175"/>
    </row>
    <row r="41" spans="7:8" ht="15.75" customHeight="1" x14ac:dyDescent="0.25">
      <c r="G41" s="175"/>
      <c r="H41" s="175"/>
    </row>
    <row r="42" spans="7:8" ht="15.75" customHeight="1" x14ac:dyDescent="0.25">
      <c r="G42" s="175"/>
      <c r="H42" s="175"/>
    </row>
    <row r="43" spans="7:8" ht="15.75" customHeight="1" x14ac:dyDescent="0.25">
      <c r="G43" s="175"/>
      <c r="H43" s="175"/>
    </row>
    <row r="44" spans="7:8" ht="15.75" customHeight="1" x14ac:dyDescent="0.25">
      <c r="G44" s="175"/>
      <c r="H44" s="175"/>
    </row>
    <row r="45" spans="7:8" ht="15.75" customHeight="1" x14ac:dyDescent="0.25">
      <c r="G45" s="175"/>
      <c r="H45" s="175"/>
    </row>
    <row r="46" spans="7:8" ht="15.75" customHeight="1" x14ac:dyDescent="0.25">
      <c r="G46" s="175"/>
      <c r="H46" s="175"/>
    </row>
    <row r="47" spans="7:8" ht="15.75" customHeight="1" x14ac:dyDescent="0.25">
      <c r="G47" s="175"/>
      <c r="H47" s="175"/>
    </row>
    <row r="48" spans="7:8" ht="15.75" customHeight="1" x14ac:dyDescent="0.25">
      <c r="G48" s="175"/>
      <c r="H48" s="175"/>
    </row>
    <row r="49" spans="7:8" ht="15.75" customHeight="1" x14ac:dyDescent="0.25">
      <c r="G49" s="175"/>
      <c r="H49" s="175"/>
    </row>
    <row r="50" spans="7:8" ht="15.75" customHeight="1" x14ac:dyDescent="0.25">
      <c r="G50" s="175"/>
      <c r="H50" s="175"/>
    </row>
    <row r="51" spans="7:8" ht="15.75" customHeight="1" x14ac:dyDescent="0.25">
      <c r="G51" s="175"/>
      <c r="H51" s="175"/>
    </row>
    <row r="52" spans="7:8" ht="15.75" customHeight="1" x14ac:dyDescent="0.25">
      <c r="G52" s="175"/>
      <c r="H52" s="175"/>
    </row>
    <row r="53" spans="7:8" ht="15.75" customHeight="1" x14ac:dyDescent="0.25">
      <c r="G53" s="175"/>
      <c r="H53" s="175"/>
    </row>
    <row r="54" spans="7:8" ht="15.75" customHeight="1" x14ac:dyDescent="0.25">
      <c r="G54" s="175"/>
      <c r="H54" s="175"/>
    </row>
    <row r="55" spans="7:8" ht="15.75" customHeight="1" x14ac:dyDescent="0.25">
      <c r="G55" s="175"/>
      <c r="H55" s="175"/>
    </row>
    <row r="56" spans="7:8" ht="15.75" customHeight="1" x14ac:dyDescent="0.25">
      <c r="G56" s="175"/>
      <c r="H56" s="175"/>
    </row>
    <row r="57" spans="7:8" ht="15.75" customHeight="1" x14ac:dyDescent="0.25">
      <c r="G57" s="175"/>
      <c r="H57" s="175"/>
    </row>
    <row r="58" spans="7:8" ht="15.75" customHeight="1" x14ac:dyDescent="0.25">
      <c r="G58" s="175"/>
      <c r="H58" s="175"/>
    </row>
    <row r="59" spans="7:8" ht="15.75" customHeight="1" x14ac:dyDescent="0.25">
      <c r="G59" s="175"/>
      <c r="H59" s="175"/>
    </row>
    <row r="60" spans="7:8" ht="15.75" customHeight="1" x14ac:dyDescent="0.25">
      <c r="G60" s="175"/>
      <c r="H60" s="175"/>
    </row>
    <row r="61" spans="7:8" ht="15.75" customHeight="1" x14ac:dyDescent="0.25">
      <c r="G61" s="175"/>
      <c r="H61" s="175"/>
    </row>
    <row r="62" spans="7:8" ht="15.75" customHeight="1" x14ac:dyDescent="0.25">
      <c r="G62" s="175"/>
      <c r="H62" s="175"/>
    </row>
    <row r="63" spans="7:8" ht="15.75" customHeight="1" x14ac:dyDescent="0.25">
      <c r="G63" s="175"/>
      <c r="H63" s="175"/>
    </row>
    <row r="64" spans="7:8" ht="15.75" customHeight="1" x14ac:dyDescent="0.25">
      <c r="G64" s="175"/>
      <c r="H64" s="175"/>
    </row>
    <row r="65" spans="7:8" ht="15.75" customHeight="1" x14ac:dyDescent="0.25">
      <c r="G65" s="175"/>
      <c r="H65" s="175"/>
    </row>
    <row r="66" spans="7:8" ht="15.75" customHeight="1" x14ac:dyDescent="0.25">
      <c r="G66" s="175"/>
      <c r="H66" s="175"/>
    </row>
    <row r="67" spans="7:8" ht="15.75" customHeight="1" x14ac:dyDescent="0.25">
      <c r="G67" s="175"/>
      <c r="H67" s="175"/>
    </row>
    <row r="68" spans="7:8" ht="15.75" customHeight="1" x14ac:dyDescent="0.25">
      <c r="G68" s="175"/>
      <c r="H68" s="175"/>
    </row>
    <row r="69" spans="7:8" ht="15.75" customHeight="1" x14ac:dyDescent="0.25">
      <c r="G69" s="175"/>
      <c r="H69" s="175"/>
    </row>
    <row r="70" spans="7:8" ht="15.75" customHeight="1" x14ac:dyDescent="0.25">
      <c r="G70" s="175"/>
      <c r="H70" s="175"/>
    </row>
    <row r="71" spans="7:8" ht="15.75" customHeight="1" x14ac:dyDescent="0.25">
      <c r="G71" s="175"/>
      <c r="H71" s="175"/>
    </row>
    <row r="72" spans="7:8" ht="15.75" customHeight="1" x14ac:dyDescent="0.25">
      <c r="G72" s="175"/>
      <c r="H72" s="175"/>
    </row>
    <row r="73" spans="7:8" ht="15.75" customHeight="1" x14ac:dyDescent="0.25">
      <c r="G73" s="175"/>
      <c r="H73" s="175"/>
    </row>
    <row r="74" spans="7:8" ht="15.75" customHeight="1" x14ac:dyDescent="0.25">
      <c r="G74" s="175"/>
      <c r="H74" s="175"/>
    </row>
    <row r="75" spans="7:8" ht="15.75" customHeight="1" x14ac:dyDescent="0.25">
      <c r="G75" s="175"/>
      <c r="H75" s="175"/>
    </row>
    <row r="76" spans="7:8" ht="15.75" customHeight="1" x14ac:dyDescent="0.25">
      <c r="G76" s="175"/>
      <c r="H76" s="175"/>
    </row>
    <row r="77" spans="7:8" ht="15.75" customHeight="1" x14ac:dyDescent="0.25">
      <c r="G77" s="175"/>
      <c r="H77" s="175"/>
    </row>
    <row r="78" spans="7:8" ht="15.75" customHeight="1" x14ac:dyDescent="0.25">
      <c r="G78" s="175"/>
      <c r="H78" s="175"/>
    </row>
    <row r="79" spans="7:8" ht="15.75" customHeight="1" x14ac:dyDescent="0.25">
      <c r="G79" s="175"/>
      <c r="H79" s="175"/>
    </row>
    <row r="80" spans="7:8" ht="15.75" customHeight="1" x14ac:dyDescent="0.25">
      <c r="G80" s="175"/>
      <c r="H80" s="175"/>
    </row>
    <row r="81" spans="7:8" ht="15.75" customHeight="1" x14ac:dyDescent="0.25">
      <c r="G81" s="175"/>
      <c r="H81" s="175"/>
    </row>
    <row r="82" spans="7:8" ht="15.75" customHeight="1" x14ac:dyDescent="0.25">
      <c r="G82" s="175"/>
      <c r="H82" s="175"/>
    </row>
    <row r="83" spans="7:8" ht="15.75" customHeight="1" x14ac:dyDescent="0.25">
      <c r="G83" s="175"/>
      <c r="H83" s="175"/>
    </row>
    <row r="84" spans="7:8" ht="15.75" customHeight="1" x14ac:dyDescent="0.25">
      <c r="G84" s="175"/>
      <c r="H84" s="175"/>
    </row>
    <row r="85" spans="7:8" ht="15.75" customHeight="1" x14ac:dyDescent="0.25">
      <c r="G85" s="175"/>
      <c r="H85" s="175"/>
    </row>
    <row r="86" spans="7:8" ht="15.75" customHeight="1" x14ac:dyDescent="0.25">
      <c r="G86" s="175"/>
      <c r="H86" s="175"/>
    </row>
    <row r="87" spans="7:8" ht="15.75" customHeight="1" x14ac:dyDescent="0.25">
      <c r="G87" s="175"/>
      <c r="H87" s="175"/>
    </row>
    <row r="88" spans="7:8" ht="15.75" customHeight="1" x14ac:dyDescent="0.25">
      <c r="G88" s="175"/>
      <c r="H88" s="175"/>
    </row>
    <row r="89" spans="7:8" ht="15.75" customHeight="1" x14ac:dyDescent="0.25">
      <c r="G89" s="175"/>
      <c r="H89" s="175"/>
    </row>
    <row r="90" spans="7:8" ht="15.75" customHeight="1" x14ac:dyDescent="0.25">
      <c r="G90" s="175"/>
      <c r="H90" s="175"/>
    </row>
    <row r="91" spans="7:8" ht="15.75" customHeight="1" x14ac:dyDescent="0.25">
      <c r="G91" s="175"/>
      <c r="H91" s="175"/>
    </row>
    <row r="92" spans="7:8" ht="15.75" customHeight="1" x14ac:dyDescent="0.25">
      <c r="G92" s="175"/>
      <c r="H92" s="175"/>
    </row>
    <row r="93" spans="7:8" ht="15.75" customHeight="1" x14ac:dyDescent="0.25">
      <c r="G93" s="175"/>
      <c r="H93" s="175"/>
    </row>
    <row r="94" spans="7:8" ht="15.75" customHeight="1" x14ac:dyDescent="0.25">
      <c r="G94" s="175"/>
      <c r="H94" s="175"/>
    </row>
    <row r="95" spans="7:8" ht="15.75" customHeight="1" x14ac:dyDescent="0.25">
      <c r="G95" s="175"/>
      <c r="H95" s="175"/>
    </row>
    <row r="96" spans="7:8" ht="15.75" customHeight="1" x14ac:dyDescent="0.25">
      <c r="G96" s="175"/>
      <c r="H96" s="175"/>
    </row>
    <row r="97" spans="7:8" ht="15.75" customHeight="1" x14ac:dyDescent="0.25">
      <c r="G97" s="175"/>
      <c r="H97" s="175"/>
    </row>
    <row r="98" spans="7:8" ht="15.75" customHeight="1" x14ac:dyDescent="0.25">
      <c r="G98" s="175"/>
      <c r="H98" s="175"/>
    </row>
    <row r="99" spans="7:8" ht="15.75" customHeight="1" x14ac:dyDescent="0.25">
      <c r="G99" s="175"/>
      <c r="H99" s="175"/>
    </row>
    <row r="100" spans="7:8" ht="15.75" customHeight="1" x14ac:dyDescent="0.25">
      <c r="G100" s="175"/>
      <c r="H100" s="175"/>
    </row>
    <row r="101" spans="7:8" ht="15.75" customHeight="1" x14ac:dyDescent="0.25">
      <c r="G101" s="175"/>
      <c r="H101" s="175"/>
    </row>
    <row r="102" spans="7:8" ht="15.75" customHeight="1" x14ac:dyDescent="0.25">
      <c r="G102" s="175"/>
      <c r="H102" s="175"/>
    </row>
    <row r="103" spans="7:8" ht="15.75" customHeight="1" x14ac:dyDescent="0.25">
      <c r="G103" s="175"/>
      <c r="H103" s="175"/>
    </row>
    <row r="104" spans="7:8" ht="15.75" customHeight="1" x14ac:dyDescent="0.25">
      <c r="G104" s="175"/>
      <c r="H104" s="175"/>
    </row>
    <row r="105" spans="7:8" ht="15.75" customHeight="1" x14ac:dyDescent="0.25">
      <c r="G105" s="175"/>
      <c r="H105" s="175"/>
    </row>
    <row r="106" spans="7:8" ht="15.75" customHeight="1" x14ac:dyDescent="0.25">
      <c r="G106" s="175"/>
      <c r="H106" s="175"/>
    </row>
    <row r="107" spans="7:8" ht="15.75" customHeight="1" x14ac:dyDescent="0.25">
      <c r="G107" s="175"/>
      <c r="H107" s="175"/>
    </row>
    <row r="108" spans="7:8" ht="15.75" customHeight="1" x14ac:dyDescent="0.25">
      <c r="G108" s="175"/>
      <c r="H108" s="175"/>
    </row>
    <row r="109" spans="7:8" ht="15.75" customHeight="1" x14ac:dyDescent="0.25">
      <c r="G109" s="175"/>
      <c r="H109" s="175"/>
    </row>
    <row r="110" spans="7:8" ht="15.75" customHeight="1" x14ac:dyDescent="0.25">
      <c r="G110" s="175"/>
      <c r="H110" s="175"/>
    </row>
    <row r="111" spans="7:8" ht="15.75" customHeight="1" x14ac:dyDescent="0.25">
      <c r="G111" s="175"/>
      <c r="H111" s="175"/>
    </row>
    <row r="112" spans="7:8" ht="15.75" customHeight="1" x14ac:dyDescent="0.25">
      <c r="G112" s="175"/>
      <c r="H112" s="175"/>
    </row>
    <row r="113" spans="7:8" ht="15.75" customHeight="1" x14ac:dyDescent="0.25">
      <c r="G113" s="175"/>
      <c r="H113" s="175"/>
    </row>
    <row r="114" spans="7:8" ht="15.75" customHeight="1" x14ac:dyDescent="0.25">
      <c r="G114" s="175"/>
      <c r="H114" s="175"/>
    </row>
    <row r="115" spans="7:8" ht="15.75" customHeight="1" x14ac:dyDescent="0.25">
      <c r="G115" s="175"/>
      <c r="H115" s="175"/>
    </row>
    <row r="116" spans="7:8" ht="15.75" customHeight="1" x14ac:dyDescent="0.25">
      <c r="G116" s="175"/>
      <c r="H116" s="175"/>
    </row>
    <row r="117" spans="7:8" ht="15.75" customHeight="1" x14ac:dyDescent="0.25">
      <c r="G117" s="175"/>
      <c r="H117" s="175"/>
    </row>
    <row r="118" spans="7:8" ht="15.75" customHeight="1" x14ac:dyDescent="0.25">
      <c r="G118" s="175"/>
      <c r="H118" s="175"/>
    </row>
    <row r="119" spans="7:8" ht="15.75" customHeight="1" x14ac:dyDescent="0.25">
      <c r="G119" s="175"/>
      <c r="H119" s="175"/>
    </row>
    <row r="120" spans="7:8" ht="15.75" customHeight="1" x14ac:dyDescent="0.25">
      <c r="G120" s="175"/>
      <c r="H120" s="175"/>
    </row>
    <row r="121" spans="7:8" ht="15.75" customHeight="1" x14ac:dyDescent="0.25">
      <c r="G121" s="175"/>
      <c r="H121" s="175"/>
    </row>
    <row r="122" spans="7:8" ht="15.75" customHeight="1" x14ac:dyDescent="0.25">
      <c r="G122" s="175"/>
      <c r="H122" s="175"/>
    </row>
    <row r="123" spans="7:8" ht="15.75" customHeight="1" x14ac:dyDescent="0.25">
      <c r="G123" s="175"/>
      <c r="H123" s="175"/>
    </row>
    <row r="124" spans="7:8" ht="15.75" customHeight="1" x14ac:dyDescent="0.25">
      <c r="G124" s="175"/>
      <c r="H124" s="175"/>
    </row>
    <row r="125" spans="7:8" ht="15.75" customHeight="1" x14ac:dyDescent="0.25">
      <c r="G125" s="175"/>
      <c r="H125" s="175"/>
    </row>
    <row r="126" spans="7:8" ht="15.75" customHeight="1" x14ac:dyDescent="0.25">
      <c r="G126" s="175"/>
      <c r="H126" s="175"/>
    </row>
    <row r="127" spans="7:8" ht="15.75" customHeight="1" x14ac:dyDescent="0.25">
      <c r="G127" s="175"/>
      <c r="H127" s="175"/>
    </row>
    <row r="128" spans="7:8" ht="15.75" customHeight="1" x14ac:dyDescent="0.25">
      <c r="G128" s="175"/>
      <c r="H128" s="175"/>
    </row>
    <row r="129" spans="7:8" ht="15.75" customHeight="1" x14ac:dyDescent="0.25">
      <c r="G129" s="175"/>
      <c r="H129" s="175"/>
    </row>
    <row r="130" spans="7:8" ht="15.75" customHeight="1" x14ac:dyDescent="0.25">
      <c r="G130" s="175"/>
      <c r="H130" s="175"/>
    </row>
    <row r="131" spans="7:8" ht="15.75" customHeight="1" x14ac:dyDescent="0.25">
      <c r="G131" s="175"/>
      <c r="H131" s="175"/>
    </row>
    <row r="132" spans="7:8" ht="15.75" customHeight="1" x14ac:dyDescent="0.25">
      <c r="G132" s="175"/>
      <c r="H132" s="175"/>
    </row>
    <row r="133" spans="7:8" ht="15.75" customHeight="1" x14ac:dyDescent="0.25">
      <c r="G133" s="175"/>
      <c r="H133" s="175"/>
    </row>
    <row r="134" spans="7:8" ht="15.75" customHeight="1" x14ac:dyDescent="0.25">
      <c r="G134" s="175"/>
      <c r="H134" s="175"/>
    </row>
    <row r="135" spans="7:8" ht="15.75" customHeight="1" x14ac:dyDescent="0.25">
      <c r="G135" s="175"/>
      <c r="H135" s="175"/>
    </row>
    <row r="136" spans="7:8" ht="15.75" customHeight="1" x14ac:dyDescent="0.25">
      <c r="G136" s="175"/>
      <c r="H136" s="175"/>
    </row>
    <row r="137" spans="7:8" ht="15.75" customHeight="1" x14ac:dyDescent="0.25">
      <c r="G137" s="175"/>
      <c r="H137" s="175"/>
    </row>
    <row r="138" spans="7:8" ht="15.75" customHeight="1" x14ac:dyDescent="0.25">
      <c r="G138" s="175"/>
      <c r="H138" s="175"/>
    </row>
    <row r="139" spans="7:8" ht="15.75" customHeight="1" x14ac:dyDescent="0.25">
      <c r="G139" s="175"/>
      <c r="H139" s="175"/>
    </row>
    <row r="140" spans="7:8" ht="15.75" customHeight="1" x14ac:dyDescent="0.25">
      <c r="G140" s="175"/>
      <c r="H140" s="175"/>
    </row>
    <row r="141" spans="7:8" ht="15.75" customHeight="1" x14ac:dyDescent="0.25">
      <c r="G141" s="175"/>
      <c r="H141" s="175"/>
    </row>
    <row r="142" spans="7:8" ht="15.75" customHeight="1" x14ac:dyDescent="0.25">
      <c r="G142" s="175"/>
      <c r="H142" s="175"/>
    </row>
    <row r="143" spans="7:8" ht="15.75" customHeight="1" x14ac:dyDescent="0.25">
      <c r="G143" s="175"/>
      <c r="H143" s="175"/>
    </row>
    <row r="144" spans="7:8" ht="15.75" customHeight="1" x14ac:dyDescent="0.25">
      <c r="G144" s="175"/>
      <c r="H144" s="175"/>
    </row>
    <row r="145" spans="7:8" ht="15.75" customHeight="1" x14ac:dyDescent="0.25">
      <c r="G145" s="175"/>
      <c r="H145" s="175"/>
    </row>
    <row r="146" spans="7:8" ht="15.75" customHeight="1" x14ac:dyDescent="0.25">
      <c r="G146" s="175"/>
      <c r="H146" s="175"/>
    </row>
    <row r="147" spans="7:8" ht="15.75" customHeight="1" x14ac:dyDescent="0.25">
      <c r="G147" s="175"/>
      <c r="H147" s="175"/>
    </row>
    <row r="148" spans="7:8" ht="15.75" customHeight="1" x14ac:dyDescent="0.25">
      <c r="G148" s="175"/>
      <c r="H148" s="175"/>
    </row>
    <row r="149" spans="7:8" ht="15.75" customHeight="1" x14ac:dyDescent="0.25">
      <c r="G149" s="175"/>
      <c r="H149" s="175"/>
    </row>
    <row r="150" spans="7:8" ht="15.75" customHeight="1" x14ac:dyDescent="0.25">
      <c r="G150" s="175"/>
      <c r="H150" s="175"/>
    </row>
    <row r="151" spans="7:8" ht="15.75" customHeight="1" x14ac:dyDescent="0.25">
      <c r="G151" s="175"/>
      <c r="H151" s="175"/>
    </row>
    <row r="152" spans="7:8" ht="15.75" customHeight="1" x14ac:dyDescent="0.25">
      <c r="G152" s="175"/>
      <c r="H152" s="175"/>
    </row>
    <row r="153" spans="7:8" ht="15.75" customHeight="1" x14ac:dyDescent="0.25">
      <c r="G153" s="175"/>
      <c r="H153" s="175"/>
    </row>
    <row r="154" spans="7:8" ht="15.75" customHeight="1" x14ac:dyDescent="0.25">
      <c r="G154" s="175"/>
      <c r="H154" s="175"/>
    </row>
    <row r="155" spans="7:8" ht="15.75" customHeight="1" x14ac:dyDescent="0.25">
      <c r="G155" s="175"/>
      <c r="H155" s="175"/>
    </row>
    <row r="156" spans="7:8" ht="15.75" customHeight="1" x14ac:dyDescent="0.25">
      <c r="G156" s="175"/>
      <c r="H156" s="175"/>
    </row>
    <row r="157" spans="7:8" ht="15.75" customHeight="1" x14ac:dyDescent="0.25">
      <c r="G157" s="175"/>
      <c r="H157" s="175"/>
    </row>
    <row r="158" spans="7:8" ht="15.75" customHeight="1" x14ac:dyDescent="0.25">
      <c r="G158" s="175"/>
      <c r="H158" s="175"/>
    </row>
    <row r="159" spans="7:8" ht="15.75" customHeight="1" x14ac:dyDescent="0.25">
      <c r="G159" s="175"/>
      <c r="H159" s="175"/>
    </row>
    <row r="160" spans="7:8" ht="15.75" customHeight="1" x14ac:dyDescent="0.25">
      <c r="G160" s="175"/>
      <c r="H160" s="175"/>
    </row>
    <row r="161" spans="7:8" ht="15.75" customHeight="1" x14ac:dyDescent="0.25">
      <c r="G161" s="175"/>
      <c r="H161" s="175"/>
    </row>
    <row r="162" spans="7:8" ht="15.75" customHeight="1" x14ac:dyDescent="0.25">
      <c r="G162" s="175"/>
      <c r="H162" s="175"/>
    </row>
    <row r="163" spans="7:8" ht="15.75" customHeight="1" x14ac:dyDescent="0.25">
      <c r="G163" s="175"/>
      <c r="H163" s="175"/>
    </row>
    <row r="164" spans="7:8" ht="15.75" customHeight="1" x14ac:dyDescent="0.25">
      <c r="G164" s="175"/>
      <c r="H164" s="175"/>
    </row>
    <row r="165" spans="7:8" ht="15.75" customHeight="1" x14ac:dyDescent="0.25">
      <c r="G165" s="175"/>
      <c r="H165" s="175"/>
    </row>
    <row r="166" spans="7:8" ht="15.75" customHeight="1" x14ac:dyDescent="0.25">
      <c r="G166" s="175"/>
      <c r="H166" s="175"/>
    </row>
    <row r="167" spans="7:8" ht="15.75" customHeight="1" x14ac:dyDescent="0.25">
      <c r="G167" s="175"/>
      <c r="H167" s="175"/>
    </row>
    <row r="168" spans="7:8" ht="15.75" customHeight="1" x14ac:dyDescent="0.25">
      <c r="G168" s="175"/>
      <c r="H168" s="175"/>
    </row>
    <row r="169" spans="7:8" ht="15.75" customHeight="1" x14ac:dyDescent="0.25">
      <c r="G169" s="175"/>
      <c r="H169" s="175"/>
    </row>
    <row r="170" spans="7:8" ht="15.75" customHeight="1" x14ac:dyDescent="0.25">
      <c r="G170" s="175"/>
      <c r="H170" s="175"/>
    </row>
    <row r="171" spans="7:8" ht="15.75" customHeight="1" x14ac:dyDescent="0.25">
      <c r="G171" s="175"/>
      <c r="H171" s="175"/>
    </row>
    <row r="172" spans="7:8" ht="15.75" customHeight="1" x14ac:dyDescent="0.25">
      <c r="G172" s="175"/>
      <c r="H172" s="175"/>
    </row>
    <row r="173" spans="7:8" ht="15.75" customHeight="1" x14ac:dyDescent="0.25">
      <c r="G173" s="175"/>
      <c r="H173" s="175"/>
    </row>
    <row r="174" spans="7:8" ht="15.75" customHeight="1" x14ac:dyDescent="0.25">
      <c r="G174" s="175"/>
      <c r="H174" s="175"/>
    </row>
    <row r="175" spans="7:8" ht="15.75" customHeight="1" x14ac:dyDescent="0.25">
      <c r="G175" s="175"/>
      <c r="H175" s="175"/>
    </row>
    <row r="176" spans="7:8" ht="15.75" customHeight="1" x14ac:dyDescent="0.25">
      <c r="G176" s="175"/>
      <c r="H176" s="175"/>
    </row>
    <row r="177" spans="7:8" ht="15.75" customHeight="1" x14ac:dyDescent="0.25">
      <c r="G177" s="175"/>
      <c r="H177" s="175"/>
    </row>
    <row r="178" spans="7:8" ht="15.75" customHeight="1" x14ac:dyDescent="0.25">
      <c r="G178" s="175"/>
      <c r="H178" s="175"/>
    </row>
    <row r="179" spans="7:8" ht="15.75" customHeight="1" x14ac:dyDescent="0.25">
      <c r="G179" s="175"/>
      <c r="H179" s="175"/>
    </row>
    <row r="180" spans="7:8" ht="15.75" customHeight="1" x14ac:dyDescent="0.25">
      <c r="G180" s="175"/>
      <c r="H180" s="175"/>
    </row>
    <row r="181" spans="7:8" ht="15.75" customHeight="1" x14ac:dyDescent="0.25">
      <c r="G181" s="175"/>
      <c r="H181" s="175"/>
    </row>
    <row r="182" spans="7:8" ht="15.75" customHeight="1" x14ac:dyDescent="0.25">
      <c r="G182" s="175"/>
      <c r="H182" s="175"/>
    </row>
    <row r="183" spans="7:8" ht="15.75" customHeight="1" x14ac:dyDescent="0.25">
      <c r="G183" s="175"/>
      <c r="H183" s="175"/>
    </row>
    <row r="184" spans="7:8" ht="15.75" customHeight="1" x14ac:dyDescent="0.25">
      <c r="G184" s="175"/>
      <c r="H184" s="175"/>
    </row>
    <row r="185" spans="7:8" ht="15.75" customHeight="1" x14ac:dyDescent="0.25">
      <c r="G185" s="175"/>
      <c r="H185" s="175"/>
    </row>
    <row r="186" spans="7:8" ht="15.75" customHeight="1" x14ac:dyDescent="0.25">
      <c r="G186" s="175"/>
      <c r="H186" s="175"/>
    </row>
    <row r="187" spans="7:8" ht="15.75" customHeight="1" x14ac:dyDescent="0.25">
      <c r="G187" s="175"/>
      <c r="H187" s="175"/>
    </row>
    <row r="188" spans="7:8" ht="15.75" customHeight="1" x14ac:dyDescent="0.25">
      <c r="G188" s="175"/>
      <c r="H188" s="175"/>
    </row>
    <row r="189" spans="7:8" ht="15.75" customHeight="1" x14ac:dyDescent="0.25">
      <c r="G189" s="175"/>
      <c r="H189" s="175"/>
    </row>
    <row r="190" spans="7:8" ht="15.75" customHeight="1" x14ac:dyDescent="0.25">
      <c r="G190" s="175"/>
      <c r="H190" s="175"/>
    </row>
    <row r="191" spans="7:8" ht="15.75" customHeight="1" x14ac:dyDescent="0.25">
      <c r="G191" s="175"/>
      <c r="H191" s="175"/>
    </row>
    <row r="192" spans="7:8" ht="15.75" customHeight="1" x14ac:dyDescent="0.25">
      <c r="G192" s="175"/>
      <c r="H192" s="175"/>
    </row>
    <row r="193" spans="7:8" ht="15.75" customHeight="1" x14ac:dyDescent="0.25">
      <c r="G193" s="175"/>
      <c r="H193" s="175"/>
    </row>
    <row r="194" spans="7:8" ht="15.75" customHeight="1" x14ac:dyDescent="0.25">
      <c r="G194" s="175"/>
      <c r="H194" s="175"/>
    </row>
    <row r="195" spans="7:8" ht="15.75" customHeight="1" x14ac:dyDescent="0.25">
      <c r="G195" s="175"/>
      <c r="H195" s="175"/>
    </row>
    <row r="196" spans="7:8" ht="15.75" customHeight="1" x14ac:dyDescent="0.25">
      <c r="G196" s="175"/>
      <c r="H196" s="175"/>
    </row>
    <row r="197" spans="7:8" ht="15.75" customHeight="1" x14ac:dyDescent="0.25">
      <c r="G197" s="175"/>
      <c r="H197" s="175"/>
    </row>
    <row r="198" spans="7:8" ht="15.75" customHeight="1" x14ac:dyDescent="0.25">
      <c r="G198" s="175"/>
      <c r="H198" s="175"/>
    </row>
    <row r="199" spans="7:8" ht="15.75" customHeight="1" x14ac:dyDescent="0.25">
      <c r="G199" s="175"/>
      <c r="H199" s="175"/>
    </row>
    <row r="200" spans="7:8" ht="15.75" customHeight="1" x14ac:dyDescent="0.25">
      <c r="G200" s="175"/>
      <c r="H200" s="175"/>
    </row>
    <row r="201" spans="7:8" ht="15.75" customHeight="1" x14ac:dyDescent="0.25">
      <c r="G201" s="175"/>
      <c r="H201" s="175"/>
    </row>
    <row r="202" spans="7:8" ht="15.75" customHeight="1" x14ac:dyDescent="0.25">
      <c r="G202" s="175"/>
      <c r="H202" s="175"/>
    </row>
    <row r="203" spans="7:8" ht="15.75" customHeight="1" x14ac:dyDescent="0.25">
      <c r="G203" s="175"/>
      <c r="H203" s="175"/>
    </row>
    <row r="204" spans="7:8" ht="15.75" customHeight="1" x14ac:dyDescent="0.25">
      <c r="G204" s="175"/>
      <c r="H204" s="175"/>
    </row>
    <row r="205" spans="7:8" ht="15.75" customHeight="1" x14ac:dyDescent="0.25">
      <c r="G205" s="175"/>
      <c r="H205" s="175"/>
    </row>
    <row r="206" spans="7:8" ht="15.75" customHeight="1" x14ac:dyDescent="0.25">
      <c r="G206" s="175"/>
      <c r="H206" s="175"/>
    </row>
    <row r="207" spans="7:8" ht="15.75" customHeight="1" x14ac:dyDescent="0.25">
      <c r="G207" s="175"/>
      <c r="H207" s="175"/>
    </row>
    <row r="208" spans="7:8" ht="15.75" customHeight="1" x14ac:dyDescent="0.25">
      <c r="G208" s="175"/>
      <c r="H208" s="175"/>
    </row>
    <row r="209" spans="7:8" ht="15.75" customHeight="1" x14ac:dyDescent="0.25">
      <c r="G209" s="175"/>
      <c r="H209" s="175"/>
    </row>
    <row r="210" spans="7:8" ht="15.75" customHeight="1" x14ac:dyDescent="0.25">
      <c r="G210" s="175"/>
      <c r="H210" s="175"/>
    </row>
    <row r="211" spans="7:8" ht="15.75" customHeight="1" x14ac:dyDescent="0.25">
      <c r="G211" s="175"/>
      <c r="H211" s="175"/>
    </row>
    <row r="212" spans="7:8" ht="15.75" customHeight="1" x14ac:dyDescent="0.25">
      <c r="G212" s="175"/>
      <c r="H212" s="175"/>
    </row>
    <row r="213" spans="7:8" ht="15.75" customHeight="1" x14ac:dyDescent="0.25">
      <c r="G213" s="175"/>
      <c r="H213" s="175"/>
    </row>
    <row r="214" spans="7:8" ht="15.75" customHeight="1" x14ac:dyDescent="0.25">
      <c r="G214" s="175"/>
      <c r="H214" s="175"/>
    </row>
    <row r="215" spans="7:8" ht="15.75" customHeight="1" x14ac:dyDescent="0.25">
      <c r="G215" s="175"/>
      <c r="H215" s="175"/>
    </row>
    <row r="216" spans="7:8" ht="15.75" customHeight="1" x14ac:dyDescent="0.25">
      <c r="G216" s="175"/>
      <c r="H216" s="175"/>
    </row>
    <row r="217" spans="7:8" ht="15.75" customHeight="1" x14ac:dyDescent="0.25">
      <c r="G217" s="175"/>
      <c r="H217" s="175"/>
    </row>
    <row r="218" spans="7:8" ht="15.75" customHeight="1" x14ac:dyDescent="0.25">
      <c r="G218" s="175"/>
      <c r="H218" s="175"/>
    </row>
    <row r="219" spans="7:8" ht="15.75" customHeight="1" x14ac:dyDescent="0.25">
      <c r="G219" s="175"/>
      <c r="H219" s="175"/>
    </row>
    <row r="220" spans="7:8" ht="15.75" customHeight="1" x14ac:dyDescent="0.25">
      <c r="G220" s="175"/>
      <c r="H220" s="175"/>
    </row>
    <row r="221" spans="7:8" ht="15.75" customHeight="1" x14ac:dyDescent="0.25">
      <c r="G221" s="175"/>
      <c r="H221" s="175"/>
    </row>
    <row r="222" spans="7:8" ht="15.75" customHeight="1" x14ac:dyDescent="0.25">
      <c r="G222" s="175"/>
      <c r="H222" s="175"/>
    </row>
    <row r="223" spans="7:8" ht="15.75" customHeight="1" x14ac:dyDescent="0.25">
      <c r="G223" s="175"/>
      <c r="H223" s="175"/>
    </row>
    <row r="224" spans="7:8" ht="15.75" customHeight="1" x14ac:dyDescent="0.25">
      <c r="G224" s="175"/>
      <c r="H224" s="175"/>
    </row>
    <row r="225" spans="7:8" ht="15.75" customHeight="1" x14ac:dyDescent="0.25">
      <c r="G225" s="175"/>
      <c r="H225" s="175"/>
    </row>
    <row r="226" spans="7:8" ht="15.75" customHeight="1" x14ac:dyDescent="0.25">
      <c r="G226" s="175"/>
      <c r="H226" s="175"/>
    </row>
    <row r="227" spans="7:8" ht="15.75" customHeight="1" x14ac:dyDescent="0.25">
      <c r="G227" s="175"/>
      <c r="H227" s="175"/>
    </row>
    <row r="228" spans="7:8" ht="15.75" customHeight="1" x14ac:dyDescent="0.25">
      <c r="G228" s="175"/>
      <c r="H228" s="175"/>
    </row>
    <row r="229" spans="7:8" ht="15.75" customHeight="1" x14ac:dyDescent="0.25">
      <c r="G229" s="175"/>
      <c r="H229" s="175"/>
    </row>
    <row r="230" spans="7:8" ht="15.75" customHeight="1" x14ac:dyDescent="0.25">
      <c r="G230" s="175"/>
      <c r="H230" s="175"/>
    </row>
    <row r="231" spans="7:8" ht="15.75" customHeight="1" x14ac:dyDescent="0.25">
      <c r="G231" s="175"/>
      <c r="H231" s="175"/>
    </row>
    <row r="232" spans="7:8" ht="15.75" customHeight="1" x14ac:dyDescent="0.25">
      <c r="G232" s="175"/>
      <c r="H232" s="175"/>
    </row>
    <row r="233" spans="7:8" ht="15.75" customHeight="1" x14ac:dyDescent="0.25">
      <c r="G233" s="175"/>
      <c r="H233" s="175"/>
    </row>
    <row r="234" spans="7:8" ht="15.75" customHeight="1" x14ac:dyDescent="0.25">
      <c r="G234" s="175"/>
      <c r="H234" s="175"/>
    </row>
    <row r="235" spans="7:8" ht="15.75" customHeight="1" x14ac:dyDescent="0.25">
      <c r="G235" s="175"/>
      <c r="H235" s="175"/>
    </row>
    <row r="236" spans="7:8" ht="15.75" customHeight="1" x14ac:dyDescent="0.25">
      <c r="G236" s="175"/>
      <c r="H236" s="175"/>
    </row>
    <row r="237" spans="7:8" ht="15.75" customHeight="1" x14ac:dyDescent="0.25">
      <c r="G237" s="175"/>
      <c r="H237" s="175"/>
    </row>
    <row r="238" spans="7:8" ht="15.75" customHeight="1" x14ac:dyDescent="0.25">
      <c r="G238" s="175"/>
      <c r="H238" s="175"/>
    </row>
    <row r="239" spans="7:8" ht="15.75" customHeight="1" x14ac:dyDescent="0.25">
      <c r="G239" s="175"/>
      <c r="H239" s="175"/>
    </row>
    <row r="240" spans="7:8" ht="15.75" customHeight="1" x14ac:dyDescent="0.25">
      <c r="G240" s="175"/>
      <c r="H240" s="175"/>
    </row>
    <row r="241" spans="7:8" ht="15.75" customHeight="1" x14ac:dyDescent="0.25">
      <c r="G241" s="175"/>
      <c r="H241" s="175"/>
    </row>
    <row r="242" spans="7:8" ht="15.75" customHeight="1" x14ac:dyDescent="0.25">
      <c r="G242" s="175"/>
      <c r="H242" s="175"/>
    </row>
    <row r="243" spans="7:8" ht="15.75" customHeight="1" x14ac:dyDescent="0.25">
      <c r="G243" s="175"/>
      <c r="H243" s="175"/>
    </row>
    <row r="244" spans="7:8" ht="15.75" customHeight="1" x14ac:dyDescent="0.25">
      <c r="G244" s="175"/>
      <c r="H244" s="175"/>
    </row>
    <row r="245" spans="7:8" ht="15.75" customHeight="1" x14ac:dyDescent="0.25">
      <c r="G245" s="175"/>
      <c r="H245" s="175"/>
    </row>
    <row r="246" spans="7:8" ht="15.75" customHeight="1" x14ac:dyDescent="0.25">
      <c r="G246" s="175"/>
      <c r="H246" s="175"/>
    </row>
    <row r="247" spans="7:8" ht="15.75" customHeight="1" x14ac:dyDescent="0.25">
      <c r="G247" s="175"/>
      <c r="H247" s="175"/>
    </row>
    <row r="248" spans="7:8" ht="15.75" customHeight="1" x14ac:dyDescent="0.25">
      <c r="G248" s="175"/>
      <c r="H248" s="175"/>
    </row>
    <row r="249" spans="7:8" ht="15.75" customHeight="1" x14ac:dyDescent="0.25">
      <c r="G249" s="175"/>
      <c r="H249" s="175"/>
    </row>
    <row r="250" spans="7:8" ht="15.75" customHeight="1" x14ac:dyDescent="0.25">
      <c r="G250" s="175"/>
      <c r="H250" s="175"/>
    </row>
    <row r="251" spans="7:8" ht="15.75" customHeight="1" x14ac:dyDescent="0.25">
      <c r="G251" s="175"/>
      <c r="H251" s="175"/>
    </row>
    <row r="252" spans="7:8" ht="15.75" customHeight="1" x14ac:dyDescent="0.25">
      <c r="G252" s="175"/>
      <c r="H252" s="175"/>
    </row>
    <row r="253" spans="7:8" ht="15.75" customHeight="1" x14ac:dyDescent="0.25">
      <c r="G253" s="175"/>
      <c r="H253" s="175"/>
    </row>
    <row r="254" spans="7:8" ht="15.75" customHeight="1" x14ac:dyDescent="0.25">
      <c r="G254" s="175"/>
      <c r="H254" s="175"/>
    </row>
    <row r="255" spans="7:8" ht="15.75" customHeight="1" x14ac:dyDescent="0.25">
      <c r="G255" s="175"/>
      <c r="H255" s="175"/>
    </row>
    <row r="256" spans="7:8" ht="15.75" customHeight="1" x14ac:dyDescent="0.25">
      <c r="G256" s="175"/>
      <c r="H256" s="175"/>
    </row>
    <row r="257" spans="7:8" ht="15.75" customHeight="1" x14ac:dyDescent="0.25">
      <c r="G257" s="175"/>
      <c r="H257" s="175"/>
    </row>
    <row r="258" spans="7:8" ht="15.75" customHeight="1" x14ac:dyDescent="0.25">
      <c r="G258" s="175"/>
      <c r="H258" s="175"/>
    </row>
    <row r="259" spans="7:8" ht="15.75" customHeight="1" x14ac:dyDescent="0.25">
      <c r="G259" s="175"/>
      <c r="H259" s="175"/>
    </row>
    <row r="260" spans="7:8" ht="15.75" customHeight="1" x14ac:dyDescent="0.25">
      <c r="G260" s="175"/>
      <c r="H260" s="175"/>
    </row>
    <row r="261" spans="7:8" ht="15.75" customHeight="1" x14ac:dyDescent="0.25">
      <c r="G261" s="175"/>
      <c r="H261" s="175"/>
    </row>
    <row r="262" spans="7:8" ht="15.75" customHeight="1" x14ac:dyDescent="0.25">
      <c r="G262" s="175"/>
      <c r="H262" s="175"/>
    </row>
    <row r="263" spans="7:8" ht="15.75" customHeight="1" x14ac:dyDescent="0.25">
      <c r="G263" s="175"/>
      <c r="H263" s="175"/>
    </row>
    <row r="264" spans="7:8" ht="15.75" customHeight="1" x14ac:dyDescent="0.25">
      <c r="G264" s="175"/>
      <c r="H264" s="175"/>
    </row>
    <row r="265" spans="7:8" ht="15.75" customHeight="1" x14ac:dyDescent="0.25">
      <c r="G265" s="175"/>
      <c r="H265" s="175"/>
    </row>
    <row r="266" spans="7:8" ht="15.75" customHeight="1" x14ac:dyDescent="0.25">
      <c r="G266" s="175"/>
      <c r="H266" s="175"/>
    </row>
    <row r="267" spans="7:8" ht="15.75" customHeight="1" x14ac:dyDescent="0.25">
      <c r="G267" s="175"/>
      <c r="H267" s="175"/>
    </row>
    <row r="268" spans="7:8" ht="15.75" customHeight="1" x14ac:dyDescent="0.25">
      <c r="G268" s="175"/>
      <c r="H268" s="175"/>
    </row>
    <row r="269" spans="7:8" ht="15.75" customHeight="1" x14ac:dyDescent="0.25">
      <c r="G269" s="175"/>
      <c r="H269" s="175"/>
    </row>
    <row r="270" spans="7:8" ht="15.75" customHeight="1" x14ac:dyDescent="0.25">
      <c r="G270" s="175"/>
      <c r="H270" s="175"/>
    </row>
    <row r="271" spans="7:8" ht="15.75" customHeight="1" x14ac:dyDescent="0.25">
      <c r="G271" s="175"/>
      <c r="H271" s="175"/>
    </row>
    <row r="272" spans="7:8" ht="15.75" customHeight="1" x14ac:dyDescent="0.25">
      <c r="G272" s="175"/>
      <c r="H272" s="175"/>
    </row>
    <row r="273" spans="7:8" ht="15.75" customHeight="1" x14ac:dyDescent="0.25">
      <c r="G273" s="175"/>
      <c r="H273" s="175"/>
    </row>
    <row r="274" spans="7:8" ht="15.75" customHeight="1" x14ac:dyDescent="0.25">
      <c r="G274" s="175"/>
      <c r="H274" s="175"/>
    </row>
    <row r="275" spans="7:8" ht="15.75" customHeight="1" x14ac:dyDescent="0.25">
      <c r="G275" s="175"/>
      <c r="H275" s="175"/>
    </row>
    <row r="276" spans="7:8" ht="15.75" customHeight="1" x14ac:dyDescent="0.25">
      <c r="G276" s="175"/>
      <c r="H276" s="175"/>
    </row>
    <row r="277" spans="7:8" ht="15.75" customHeight="1" x14ac:dyDescent="0.25">
      <c r="G277" s="175"/>
      <c r="H277" s="175"/>
    </row>
    <row r="278" spans="7:8" ht="15.75" customHeight="1" x14ac:dyDescent="0.25">
      <c r="G278" s="175"/>
      <c r="H278" s="175"/>
    </row>
    <row r="279" spans="7:8" ht="15.75" customHeight="1" x14ac:dyDescent="0.25">
      <c r="G279" s="175"/>
      <c r="H279" s="175"/>
    </row>
    <row r="280" spans="7:8" ht="15.75" customHeight="1" x14ac:dyDescent="0.25">
      <c r="G280" s="175"/>
      <c r="H280" s="175"/>
    </row>
    <row r="281" spans="7:8" ht="15.75" customHeight="1" x14ac:dyDescent="0.25">
      <c r="G281" s="175"/>
      <c r="H281" s="175"/>
    </row>
    <row r="282" spans="7:8" ht="15.75" customHeight="1" x14ac:dyDescent="0.25">
      <c r="G282" s="175"/>
      <c r="H282" s="175"/>
    </row>
    <row r="283" spans="7:8" ht="15.75" customHeight="1" x14ac:dyDescent="0.25">
      <c r="G283" s="175"/>
      <c r="H283" s="175"/>
    </row>
    <row r="284" spans="7:8" ht="15.75" customHeight="1" x14ac:dyDescent="0.25">
      <c r="G284" s="175"/>
      <c r="H284" s="175"/>
    </row>
    <row r="285" spans="7:8" ht="15.75" customHeight="1" x14ac:dyDescent="0.25">
      <c r="G285" s="175"/>
      <c r="H285" s="175"/>
    </row>
    <row r="286" spans="7:8" ht="15.75" customHeight="1" x14ac:dyDescent="0.25">
      <c r="G286" s="175"/>
      <c r="H286" s="175"/>
    </row>
    <row r="287" spans="7:8" ht="15.75" customHeight="1" x14ac:dyDescent="0.25">
      <c r="G287" s="175"/>
      <c r="H287" s="175"/>
    </row>
    <row r="288" spans="7:8" ht="15.75" customHeight="1" x14ac:dyDescent="0.25">
      <c r="G288" s="175"/>
      <c r="H288" s="175"/>
    </row>
    <row r="289" spans="7:8" ht="15.75" customHeight="1" x14ac:dyDescent="0.25">
      <c r="G289" s="175"/>
      <c r="H289" s="175"/>
    </row>
    <row r="290" spans="7:8" ht="15.75" customHeight="1" x14ac:dyDescent="0.25">
      <c r="G290" s="175"/>
      <c r="H290" s="175"/>
    </row>
    <row r="291" spans="7:8" ht="15.75" customHeight="1" x14ac:dyDescent="0.25">
      <c r="G291" s="175"/>
      <c r="H291" s="175"/>
    </row>
    <row r="292" spans="7:8" ht="15.75" customHeight="1" x14ac:dyDescent="0.25">
      <c r="G292" s="175"/>
      <c r="H292" s="175"/>
    </row>
    <row r="293" spans="7:8" ht="15.75" customHeight="1" x14ac:dyDescent="0.25">
      <c r="G293" s="175"/>
      <c r="H293" s="175"/>
    </row>
    <row r="294" spans="7:8" ht="15.75" customHeight="1" x14ac:dyDescent="0.25">
      <c r="G294" s="175"/>
      <c r="H294" s="175"/>
    </row>
    <row r="295" spans="7:8" ht="15.75" customHeight="1" x14ac:dyDescent="0.25">
      <c r="G295" s="175"/>
      <c r="H295" s="175"/>
    </row>
    <row r="296" spans="7:8" ht="15.75" customHeight="1" x14ac:dyDescent="0.25">
      <c r="G296" s="175"/>
      <c r="H296" s="175"/>
    </row>
    <row r="297" spans="7:8" ht="15.75" customHeight="1" x14ac:dyDescent="0.25">
      <c r="G297" s="175"/>
      <c r="H297" s="175"/>
    </row>
    <row r="298" spans="7:8" ht="15.75" customHeight="1" x14ac:dyDescent="0.25">
      <c r="G298" s="175"/>
      <c r="H298" s="175"/>
    </row>
    <row r="299" spans="7:8" ht="15.75" customHeight="1" x14ac:dyDescent="0.25">
      <c r="G299" s="175"/>
      <c r="H299" s="175"/>
    </row>
    <row r="300" spans="7:8" ht="15.75" customHeight="1" x14ac:dyDescent="0.25">
      <c r="G300" s="175"/>
      <c r="H300" s="175"/>
    </row>
    <row r="301" spans="7:8" ht="15.75" customHeight="1" x14ac:dyDescent="0.25">
      <c r="G301" s="175"/>
      <c r="H301" s="175"/>
    </row>
    <row r="302" spans="7:8" ht="15.75" customHeight="1" x14ac:dyDescent="0.25">
      <c r="G302" s="175"/>
      <c r="H302" s="175"/>
    </row>
    <row r="303" spans="7:8" ht="15.75" customHeight="1" x14ac:dyDescent="0.25">
      <c r="G303" s="175"/>
      <c r="H303" s="175"/>
    </row>
    <row r="304" spans="7:8" ht="15.75" customHeight="1" x14ac:dyDescent="0.25">
      <c r="G304" s="175"/>
      <c r="H304" s="175"/>
    </row>
    <row r="305" spans="7:8" ht="15.75" customHeight="1" x14ac:dyDescent="0.25">
      <c r="G305" s="175"/>
      <c r="H305" s="175"/>
    </row>
    <row r="306" spans="7:8" ht="15.75" customHeight="1" x14ac:dyDescent="0.25">
      <c r="G306" s="175"/>
      <c r="H306" s="175"/>
    </row>
    <row r="307" spans="7:8" ht="15.75" customHeight="1" x14ac:dyDescent="0.25">
      <c r="G307" s="175"/>
      <c r="H307" s="175"/>
    </row>
    <row r="308" spans="7:8" ht="15.75" customHeight="1" x14ac:dyDescent="0.25">
      <c r="G308" s="175"/>
      <c r="H308" s="175"/>
    </row>
    <row r="309" spans="7:8" ht="15.75" customHeight="1" x14ac:dyDescent="0.25">
      <c r="G309" s="175"/>
      <c r="H309" s="175"/>
    </row>
    <row r="310" spans="7:8" ht="15.75" customHeight="1" x14ac:dyDescent="0.25">
      <c r="G310" s="175"/>
      <c r="H310" s="175"/>
    </row>
    <row r="311" spans="7:8" ht="15.75" customHeight="1" x14ac:dyDescent="0.25">
      <c r="G311" s="175"/>
      <c r="H311" s="175"/>
    </row>
    <row r="312" spans="7:8" ht="15.75" customHeight="1" x14ac:dyDescent="0.25">
      <c r="G312" s="175"/>
      <c r="H312" s="175"/>
    </row>
    <row r="313" spans="7:8" ht="15.75" customHeight="1" x14ac:dyDescent="0.25">
      <c r="G313" s="175"/>
      <c r="H313" s="175"/>
    </row>
    <row r="314" spans="7:8" ht="15.75" customHeight="1" x14ac:dyDescent="0.25">
      <c r="G314" s="175"/>
      <c r="H314" s="175"/>
    </row>
    <row r="315" spans="7:8" ht="15.75" customHeight="1" x14ac:dyDescent="0.25">
      <c r="G315" s="175"/>
      <c r="H315" s="175"/>
    </row>
    <row r="316" spans="7:8" ht="15.75" customHeight="1" x14ac:dyDescent="0.25">
      <c r="G316" s="175"/>
      <c r="H316" s="175"/>
    </row>
    <row r="317" spans="7:8" ht="15.75" customHeight="1" x14ac:dyDescent="0.25">
      <c r="G317" s="175"/>
      <c r="H317" s="175"/>
    </row>
    <row r="318" spans="7:8" ht="15.75" customHeight="1" x14ac:dyDescent="0.25">
      <c r="G318" s="175"/>
      <c r="H318" s="175"/>
    </row>
    <row r="319" spans="7:8" ht="15.75" customHeight="1" x14ac:dyDescent="0.25">
      <c r="G319" s="175"/>
      <c r="H319" s="175"/>
    </row>
    <row r="320" spans="7:8" ht="15.75" customHeight="1" x14ac:dyDescent="0.25">
      <c r="G320" s="175"/>
      <c r="H320" s="175"/>
    </row>
    <row r="321" spans="7:8" ht="15.75" customHeight="1" x14ac:dyDescent="0.25">
      <c r="G321" s="175"/>
      <c r="H321" s="175"/>
    </row>
    <row r="322" spans="7:8" ht="15.75" customHeight="1" x14ac:dyDescent="0.25">
      <c r="G322" s="175"/>
      <c r="H322" s="175"/>
    </row>
    <row r="323" spans="7:8" ht="15.75" customHeight="1" x14ac:dyDescent="0.25">
      <c r="G323" s="175"/>
      <c r="H323" s="175"/>
    </row>
    <row r="324" spans="7:8" ht="15.75" customHeight="1" x14ac:dyDescent="0.25">
      <c r="G324" s="175"/>
      <c r="H324" s="175"/>
    </row>
    <row r="325" spans="7:8" ht="15.75" customHeight="1" x14ac:dyDescent="0.25">
      <c r="G325" s="175"/>
      <c r="H325" s="175"/>
    </row>
    <row r="326" spans="7:8" ht="15.75" customHeight="1" x14ac:dyDescent="0.25">
      <c r="G326" s="175"/>
      <c r="H326" s="175"/>
    </row>
    <row r="327" spans="7:8" ht="15.75" customHeight="1" x14ac:dyDescent="0.25">
      <c r="G327" s="175"/>
      <c r="H327" s="175"/>
    </row>
    <row r="328" spans="7:8" ht="15.75" customHeight="1" x14ac:dyDescent="0.25">
      <c r="G328" s="175"/>
      <c r="H328" s="175"/>
    </row>
    <row r="329" spans="7:8" ht="15.75" customHeight="1" x14ac:dyDescent="0.25">
      <c r="G329" s="175"/>
      <c r="H329" s="175"/>
    </row>
    <row r="330" spans="7:8" ht="15.75" customHeight="1" x14ac:dyDescent="0.25">
      <c r="G330" s="175"/>
      <c r="H330" s="175"/>
    </row>
    <row r="331" spans="7:8" ht="15.75" customHeight="1" x14ac:dyDescent="0.25">
      <c r="G331" s="175"/>
      <c r="H331" s="175"/>
    </row>
    <row r="332" spans="7:8" ht="15.75" customHeight="1" x14ac:dyDescent="0.25">
      <c r="G332" s="175"/>
      <c r="H332" s="175"/>
    </row>
    <row r="333" spans="7:8" ht="15.75" customHeight="1" x14ac:dyDescent="0.25">
      <c r="G333" s="175"/>
      <c r="H333" s="175"/>
    </row>
    <row r="334" spans="7:8" ht="15.75" customHeight="1" x14ac:dyDescent="0.25">
      <c r="G334" s="175"/>
      <c r="H334" s="175"/>
    </row>
    <row r="335" spans="7:8" ht="15.75" customHeight="1" x14ac:dyDescent="0.25">
      <c r="G335" s="175"/>
      <c r="H335" s="175"/>
    </row>
    <row r="336" spans="7:8" ht="15.75" customHeight="1" x14ac:dyDescent="0.25">
      <c r="G336" s="175"/>
      <c r="H336" s="175"/>
    </row>
    <row r="337" spans="7:8" ht="15.75" customHeight="1" x14ac:dyDescent="0.25">
      <c r="G337" s="175"/>
      <c r="H337" s="175"/>
    </row>
    <row r="338" spans="7:8" ht="15.75" customHeight="1" x14ac:dyDescent="0.25">
      <c r="G338" s="175"/>
      <c r="H338" s="175"/>
    </row>
    <row r="339" spans="7:8" ht="15.75" customHeight="1" x14ac:dyDescent="0.25">
      <c r="G339" s="175"/>
      <c r="H339" s="175"/>
    </row>
    <row r="340" spans="7:8" ht="15.75" customHeight="1" x14ac:dyDescent="0.25">
      <c r="G340" s="175"/>
      <c r="H340" s="175"/>
    </row>
    <row r="341" spans="7:8" ht="15.75" customHeight="1" x14ac:dyDescent="0.25">
      <c r="G341" s="175"/>
      <c r="H341" s="175"/>
    </row>
    <row r="342" spans="7:8" ht="15.75" customHeight="1" x14ac:dyDescent="0.25">
      <c r="G342" s="175"/>
      <c r="H342" s="175"/>
    </row>
    <row r="343" spans="7:8" ht="15.75" customHeight="1" x14ac:dyDescent="0.25">
      <c r="G343" s="175"/>
      <c r="H343" s="175"/>
    </row>
    <row r="344" spans="7:8" ht="15.75" customHeight="1" x14ac:dyDescent="0.25">
      <c r="G344" s="175"/>
      <c r="H344" s="175"/>
    </row>
    <row r="345" spans="7:8" ht="15.75" customHeight="1" x14ac:dyDescent="0.25">
      <c r="G345" s="175"/>
      <c r="H345" s="175"/>
    </row>
    <row r="346" spans="7:8" ht="15.75" customHeight="1" x14ac:dyDescent="0.25">
      <c r="G346" s="175"/>
      <c r="H346" s="175"/>
    </row>
    <row r="347" spans="7:8" ht="15.75" customHeight="1" x14ac:dyDescent="0.25">
      <c r="G347" s="175"/>
      <c r="H347" s="175"/>
    </row>
    <row r="348" spans="7:8" ht="15.75" customHeight="1" x14ac:dyDescent="0.25">
      <c r="G348" s="175"/>
      <c r="H348" s="175"/>
    </row>
    <row r="349" spans="7:8" ht="15.75" customHeight="1" x14ac:dyDescent="0.25">
      <c r="G349" s="175"/>
      <c r="H349" s="175"/>
    </row>
    <row r="350" spans="7:8" ht="15.75" customHeight="1" x14ac:dyDescent="0.25">
      <c r="G350" s="175"/>
      <c r="H350" s="175"/>
    </row>
    <row r="351" spans="7:8" ht="15.75" customHeight="1" x14ac:dyDescent="0.25">
      <c r="G351" s="175"/>
      <c r="H351" s="175"/>
    </row>
    <row r="352" spans="7:8" ht="15.75" customHeight="1" x14ac:dyDescent="0.25">
      <c r="G352" s="175"/>
      <c r="H352" s="175"/>
    </row>
    <row r="353" spans="7:8" ht="15.75" customHeight="1" x14ac:dyDescent="0.25">
      <c r="G353" s="175"/>
      <c r="H353" s="175"/>
    </row>
    <row r="354" spans="7:8" ht="15.75" customHeight="1" x14ac:dyDescent="0.25">
      <c r="G354" s="175"/>
      <c r="H354" s="175"/>
    </row>
    <row r="355" spans="7:8" ht="15.75" customHeight="1" x14ac:dyDescent="0.25">
      <c r="G355" s="175"/>
      <c r="H355" s="175"/>
    </row>
    <row r="356" spans="7:8" ht="15.75" customHeight="1" x14ac:dyDescent="0.25">
      <c r="G356" s="175"/>
      <c r="H356" s="175"/>
    </row>
    <row r="357" spans="7:8" ht="15.75" customHeight="1" x14ac:dyDescent="0.25">
      <c r="G357" s="175"/>
      <c r="H357" s="175"/>
    </row>
    <row r="358" spans="7:8" ht="15.75" customHeight="1" x14ac:dyDescent="0.25">
      <c r="G358" s="175"/>
      <c r="H358" s="175"/>
    </row>
    <row r="359" spans="7:8" ht="15.75" customHeight="1" x14ac:dyDescent="0.25">
      <c r="G359" s="175"/>
      <c r="H359" s="175"/>
    </row>
    <row r="360" spans="7:8" ht="15.75" customHeight="1" x14ac:dyDescent="0.25">
      <c r="G360" s="175"/>
      <c r="H360" s="175"/>
    </row>
    <row r="361" spans="7:8" ht="15.75" customHeight="1" x14ac:dyDescent="0.25">
      <c r="G361" s="175"/>
      <c r="H361" s="175"/>
    </row>
    <row r="362" spans="7:8" ht="15.75" customHeight="1" x14ac:dyDescent="0.25">
      <c r="G362" s="175"/>
      <c r="H362" s="175"/>
    </row>
    <row r="363" spans="7:8" ht="15.75" customHeight="1" x14ac:dyDescent="0.25">
      <c r="G363" s="175"/>
      <c r="H363" s="175"/>
    </row>
    <row r="364" spans="7:8" ht="15.75" customHeight="1" x14ac:dyDescent="0.25">
      <c r="G364" s="175"/>
      <c r="H364" s="175"/>
    </row>
    <row r="365" spans="7:8" ht="15.75" customHeight="1" x14ac:dyDescent="0.25">
      <c r="G365" s="175"/>
      <c r="H365" s="175"/>
    </row>
    <row r="366" spans="7:8" ht="15.75" customHeight="1" x14ac:dyDescent="0.25">
      <c r="G366" s="175"/>
      <c r="H366" s="175"/>
    </row>
    <row r="367" spans="7:8" ht="15.75" customHeight="1" x14ac:dyDescent="0.25">
      <c r="G367" s="175"/>
      <c r="H367" s="175"/>
    </row>
    <row r="368" spans="7:8" ht="15.75" customHeight="1" x14ac:dyDescent="0.25">
      <c r="G368" s="175"/>
      <c r="H368" s="175"/>
    </row>
    <row r="369" spans="7:8" ht="15.75" customHeight="1" x14ac:dyDescent="0.25">
      <c r="G369" s="175"/>
      <c r="H369" s="175"/>
    </row>
    <row r="370" spans="7:8" ht="15.75" customHeight="1" x14ac:dyDescent="0.25">
      <c r="G370" s="175"/>
      <c r="H370" s="175"/>
    </row>
    <row r="371" spans="7:8" ht="15.75" customHeight="1" x14ac:dyDescent="0.25">
      <c r="G371" s="175"/>
      <c r="H371" s="175"/>
    </row>
    <row r="372" spans="7:8" ht="15.75" customHeight="1" x14ac:dyDescent="0.25">
      <c r="G372" s="175"/>
      <c r="H372" s="175"/>
    </row>
    <row r="373" spans="7:8" ht="15.75" customHeight="1" x14ac:dyDescent="0.25">
      <c r="G373" s="175"/>
      <c r="H373" s="175"/>
    </row>
    <row r="374" spans="7:8" ht="15.75" customHeight="1" x14ac:dyDescent="0.25">
      <c r="G374" s="175"/>
      <c r="H374" s="175"/>
    </row>
    <row r="375" spans="7:8" ht="15.75" customHeight="1" x14ac:dyDescent="0.25">
      <c r="G375" s="175"/>
      <c r="H375" s="175"/>
    </row>
    <row r="376" spans="7:8" ht="15.75" customHeight="1" x14ac:dyDescent="0.25">
      <c r="G376" s="175"/>
      <c r="H376" s="175"/>
    </row>
    <row r="377" spans="7:8" ht="15.75" customHeight="1" x14ac:dyDescent="0.25">
      <c r="G377" s="175"/>
      <c r="H377" s="175"/>
    </row>
    <row r="378" spans="7:8" ht="15.75" customHeight="1" x14ac:dyDescent="0.25">
      <c r="G378" s="175"/>
      <c r="H378" s="175"/>
    </row>
    <row r="379" spans="7:8" ht="15.75" customHeight="1" x14ac:dyDescent="0.25">
      <c r="G379" s="175"/>
      <c r="H379" s="175"/>
    </row>
    <row r="380" spans="7:8" ht="15.75" customHeight="1" x14ac:dyDescent="0.25">
      <c r="G380" s="175"/>
      <c r="H380" s="175"/>
    </row>
    <row r="381" spans="7:8" ht="15.75" customHeight="1" x14ac:dyDescent="0.25">
      <c r="G381" s="175"/>
      <c r="H381" s="175"/>
    </row>
    <row r="382" spans="7:8" ht="15.75" customHeight="1" x14ac:dyDescent="0.25">
      <c r="G382" s="175"/>
      <c r="H382" s="175"/>
    </row>
    <row r="383" spans="7:8" ht="15.75" customHeight="1" x14ac:dyDescent="0.25">
      <c r="G383" s="175"/>
      <c r="H383" s="175"/>
    </row>
    <row r="384" spans="7:8" ht="15.75" customHeight="1" x14ac:dyDescent="0.25">
      <c r="G384" s="175"/>
      <c r="H384" s="175"/>
    </row>
    <row r="385" spans="7:8" ht="15.75" customHeight="1" x14ac:dyDescent="0.25">
      <c r="G385" s="175"/>
      <c r="H385" s="175"/>
    </row>
    <row r="386" spans="7:8" ht="15.75" customHeight="1" x14ac:dyDescent="0.25">
      <c r="G386" s="175"/>
      <c r="H386" s="175"/>
    </row>
    <row r="387" spans="7:8" ht="15.75" customHeight="1" x14ac:dyDescent="0.25">
      <c r="G387" s="175"/>
      <c r="H387" s="175"/>
    </row>
    <row r="388" spans="7:8" ht="15.75" customHeight="1" x14ac:dyDescent="0.25">
      <c r="G388" s="175"/>
      <c r="H388" s="175"/>
    </row>
    <row r="389" spans="7:8" ht="15.75" customHeight="1" x14ac:dyDescent="0.25">
      <c r="G389" s="175"/>
      <c r="H389" s="175"/>
    </row>
    <row r="390" spans="7:8" ht="15.75" customHeight="1" x14ac:dyDescent="0.25">
      <c r="G390" s="175"/>
      <c r="H390" s="175"/>
    </row>
    <row r="391" spans="7:8" ht="15.75" customHeight="1" x14ac:dyDescent="0.25">
      <c r="G391" s="175"/>
      <c r="H391" s="175"/>
    </row>
    <row r="392" spans="7:8" ht="15.75" customHeight="1" x14ac:dyDescent="0.25">
      <c r="G392" s="175"/>
      <c r="H392" s="175"/>
    </row>
    <row r="393" spans="7:8" ht="15.75" customHeight="1" x14ac:dyDescent="0.25">
      <c r="G393" s="175"/>
      <c r="H393" s="175"/>
    </row>
    <row r="394" spans="7:8" ht="15.75" customHeight="1" x14ac:dyDescent="0.25">
      <c r="G394" s="175"/>
      <c r="H394" s="175"/>
    </row>
    <row r="395" spans="7:8" ht="15.75" customHeight="1" x14ac:dyDescent="0.25">
      <c r="G395" s="175"/>
      <c r="H395" s="175"/>
    </row>
    <row r="396" spans="7:8" ht="15.75" customHeight="1" x14ac:dyDescent="0.25">
      <c r="G396" s="175"/>
      <c r="H396" s="175"/>
    </row>
    <row r="397" spans="7:8" ht="15.75" customHeight="1" x14ac:dyDescent="0.25">
      <c r="G397" s="175"/>
      <c r="H397" s="175"/>
    </row>
    <row r="398" spans="7:8" ht="15.75" customHeight="1" x14ac:dyDescent="0.25">
      <c r="G398" s="175"/>
      <c r="H398" s="175"/>
    </row>
    <row r="399" spans="7:8" ht="15.75" customHeight="1" x14ac:dyDescent="0.25">
      <c r="G399" s="175"/>
      <c r="H399" s="175"/>
    </row>
    <row r="400" spans="7:8" ht="15.75" customHeight="1" x14ac:dyDescent="0.25">
      <c r="G400" s="175"/>
      <c r="H400" s="175"/>
    </row>
    <row r="401" spans="7:8" ht="15.75" customHeight="1" x14ac:dyDescent="0.25">
      <c r="G401" s="175"/>
      <c r="H401" s="175"/>
    </row>
    <row r="402" spans="7:8" ht="15.75" customHeight="1" x14ac:dyDescent="0.25">
      <c r="G402" s="175"/>
      <c r="H402" s="175"/>
    </row>
    <row r="403" spans="7:8" ht="15.75" customHeight="1" x14ac:dyDescent="0.25">
      <c r="G403" s="175"/>
      <c r="H403" s="175"/>
    </row>
    <row r="404" spans="7:8" ht="15.75" customHeight="1" x14ac:dyDescent="0.25">
      <c r="G404" s="175"/>
      <c r="H404" s="175"/>
    </row>
    <row r="405" spans="7:8" ht="15.75" customHeight="1" x14ac:dyDescent="0.25">
      <c r="G405" s="175"/>
      <c r="H405" s="175"/>
    </row>
    <row r="406" spans="7:8" ht="15.75" customHeight="1" x14ac:dyDescent="0.25">
      <c r="G406" s="175"/>
      <c r="H406" s="175"/>
    </row>
    <row r="407" spans="7:8" ht="15.75" customHeight="1" x14ac:dyDescent="0.25">
      <c r="G407" s="175"/>
      <c r="H407" s="175"/>
    </row>
    <row r="408" spans="7:8" ht="15.75" customHeight="1" x14ac:dyDescent="0.25">
      <c r="G408" s="175"/>
      <c r="H408" s="175"/>
    </row>
    <row r="409" spans="7:8" ht="15.75" customHeight="1" x14ac:dyDescent="0.25">
      <c r="G409" s="175"/>
      <c r="H409" s="175"/>
    </row>
    <row r="410" spans="7:8" ht="15.75" customHeight="1" x14ac:dyDescent="0.25">
      <c r="G410" s="175"/>
      <c r="H410" s="175"/>
    </row>
    <row r="411" spans="7:8" ht="15.75" customHeight="1" x14ac:dyDescent="0.25">
      <c r="G411" s="175"/>
      <c r="H411" s="175"/>
    </row>
    <row r="412" spans="7:8" ht="15.75" customHeight="1" x14ac:dyDescent="0.25">
      <c r="G412" s="175"/>
      <c r="H412" s="175"/>
    </row>
    <row r="413" spans="7:8" ht="15.75" customHeight="1" x14ac:dyDescent="0.25">
      <c r="G413" s="175"/>
      <c r="H413" s="175"/>
    </row>
    <row r="414" spans="7:8" ht="15.75" customHeight="1" x14ac:dyDescent="0.25">
      <c r="G414" s="175"/>
      <c r="H414" s="175"/>
    </row>
    <row r="415" spans="7:8" ht="15.75" customHeight="1" x14ac:dyDescent="0.25">
      <c r="G415" s="175"/>
      <c r="H415" s="175"/>
    </row>
    <row r="416" spans="7:8" ht="15.75" customHeight="1" x14ac:dyDescent="0.25">
      <c r="G416" s="175"/>
      <c r="H416" s="175"/>
    </row>
    <row r="417" spans="7:8" ht="15.75" customHeight="1" x14ac:dyDescent="0.25">
      <c r="G417" s="175"/>
      <c r="H417" s="175"/>
    </row>
    <row r="418" spans="7:8" ht="15.75" customHeight="1" x14ac:dyDescent="0.25">
      <c r="G418" s="175"/>
      <c r="H418" s="175"/>
    </row>
    <row r="419" spans="7:8" ht="15.75" customHeight="1" x14ac:dyDescent="0.25">
      <c r="G419" s="175"/>
      <c r="H419" s="175"/>
    </row>
    <row r="420" spans="7:8" ht="15.75" customHeight="1" x14ac:dyDescent="0.25">
      <c r="G420" s="175"/>
      <c r="H420" s="175"/>
    </row>
    <row r="421" spans="7:8" ht="15.75" customHeight="1" x14ac:dyDescent="0.25">
      <c r="G421" s="175"/>
      <c r="H421" s="175"/>
    </row>
    <row r="422" spans="7:8" ht="15.75" customHeight="1" x14ac:dyDescent="0.25">
      <c r="G422" s="175"/>
      <c r="H422" s="175"/>
    </row>
    <row r="423" spans="7:8" ht="15.75" customHeight="1" x14ac:dyDescent="0.25">
      <c r="G423" s="175"/>
      <c r="H423" s="175"/>
    </row>
    <row r="424" spans="7:8" ht="15.75" customHeight="1" x14ac:dyDescent="0.25">
      <c r="G424" s="175"/>
      <c r="H424" s="175"/>
    </row>
    <row r="425" spans="7:8" ht="15.75" customHeight="1" x14ac:dyDescent="0.25">
      <c r="G425" s="175"/>
      <c r="H425" s="175"/>
    </row>
    <row r="426" spans="7:8" ht="15.75" customHeight="1" x14ac:dyDescent="0.25">
      <c r="G426" s="175"/>
      <c r="H426" s="175"/>
    </row>
    <row r="427" spans="7:8" ht="15.75" customHeight="1" x14ac:dyDescent="0.25">
      <c r="G427" s="175"/>
      <c r="H427" s="175"/>
    </row>
    <row r="428" spans="7:8" ht="15.75" customHeight="1" x14ac:dyDescent="0.25">
      <c r="G428" s="175"/>
      <c r="H428" s="175"/>
    </row>
    <row r="429" spans="7:8" ht="15.75" customHeight="1" x14ac:dyDescent="0.25">
      <c r="G429" s="175"/>
      <c r="H429" s="175"/>
    </row>
    <row r="430" spans="7:8" ht="15.75" customHeight="1" x14ac:dyDescent="0.25">
      <c r="G430" s="175"/>
      <c r="H430" s="175"/>
    </row>
    <row r="431" spans="7:8" ht="15.75" customHeight="1" x14ac:dyDescent="0.25">
      <c r="G431" s="175"/>
      <c r="H431" s="175"/>
    </row>
    <row r="432" spans="7:8" ht="15.75" customHeight="1" x14ac:dyDescent="0.25">
      <c r="G432" s="175"/>
      <c r="H432" s="175"/>
    </row>
    <row r="433" spans="7:8" ht="15.75" customHeight="1" x14ac:dyDescent="0.25">
      <c r="G433" s="175"/>
      <c r="H433" s="175"/>
    </row>
    <row r="434" spans="7:8" ht="15.75" customHeight="1" x14ac:dyDescent="0.25">
      <c r="G434" s="175"/>
      <c r="H434" s="175"/>
    </row>
    <row r="435" spans="7:8" ht="15.75" customHeight="1" x14ac:dyDescent="0.25">
      <c r="G435" s="175"/>
      <c r="H435" s="175"/>
    </row>
    <row r="436" spans="7:8" ht="15.75" customHeight="1" x14ac:dyDescent="0.25">
      <c r="G436" s="175"/>
      <c r="H436" s="175"/>
    </row>
    <row r="437" spans="7:8" ht="15.75" customHeight="1" x14ac:dyDescent="0.25">
      <c r="G437" s="175"/>
      <c r="H437" s="175"/>
    </row>
    <row r="438" spans="7:8" ht="15.75" customHeight="1" x14ac:dyDescent="0.25">
      <c r="G438" s="175"/>
      <c r="H438" s="175"/>
    </row>
    <row r="439" spans="7:8" ht="15.75" customHeight="1" x14ac:dyDescent="0.25">
      <c r="G439" s="175"/>
      <c r="H439" s="175"/>
    </row>
    <row r="440" spans="7:8" ht="15.75" customHeight="1" x14ac:dyDescent="0.25">
      <c r="G440" s="175"/>
      <c r="H440" s="175"/>
    </row>
    <row r="441" spans="7:8" ht="15.75" customHeight="1" x14ac:dyDescent="0.25">
      <c r="G441" s="175"/>
      <c r="H441" s="175"/>
    </row>
    <row r="442" spans="7:8" ht="15.75" customHeight="1" x14ac:dyDescent="0.25">
      <c r="G442" s="175"/>
      <c r="H442" s="175"/>
    </row>
    <row r="443" spans="7:8" ht="15.75" customHeight="1" x14ac:dyDescent="0.25">
      <c r="G443" s="175"/>
      <c r="H443" s="175"/>
    </row>
    <row r="444" spans="7:8" ht="15.75" customHeight="1" x14ac:dyDescent="0.25">
      <c r="G444" s="175"/>
      <c r="H444" s="175"/>
    </row>
    <row r="445" spans="7:8" ht="15.75" customHeight="1" x14ac:dyDescent="0.25">
      <c r="G445" s="175"/>
      <c r="H445" s="175"/>
    </row>
    <row r="446" spans="7:8" ht="15.75" customHeight="1" x14ac:dyDescent="0.25">
      <c r="G446" s="175"/>
      <c r="H446" s="175"/>
    </row>
    <row r="447" spans="7:8" ht="15.75" customHeight="1" x14ac:dyDescent="0.25">
      <c r="G447" s="175"/>
      <c r="H447" s="175"/>
    </row>
    <row r="448" spans="7:8" ht="15.75" customHeight="1" x14ac:dyDescent="0.25">
      <c r="G448" s="175"/>
      <c r="H448" s="175"/>
    </row>
    <row r="449" spans="7:8" ht="15.75" customHeight="1" x14ac:dyDescent="0.25">
      <c r="G449" s="175"/>
      <c r="H449" s="175"/>
    </row>
    <row r="450" spans="7:8" ht="15.75" customHeight="1" x14ac:dyDescent="0.25">
      <c r="G450" s="175"/>
      <c r="H450" s="175"/>
    </row>
    <row r="451" spans="7:8" ht="15.75" customHeight="1" x14ac:dyDescent="0.25">
      <c r="G451" s="175"/>
      <c r="H451" s="175"/>
    </row>
    <row r="452" spans="7:8" ht="15.75" customHeight="1" x14ac:dyDescent="0.25">
      <c r="G452" s="175"/>
      <c r="H452" s="175"/>
    </row>
    <row r="453" spans="7:8" ht="15.75" customHeight="1" x14ac:dyDescent="0.25">
      <c r="G453" s="175"/>
      <c r="H453" s="175"/>
    </row>
    <row r="454" spans="7:8" ht="15.75" customHeight="1" x14ac:dyDescent="0.25">
      <c r="G454" s="175"/>
      <c r="H454" s="175"/>
    </row>
    <row r="455" spans="7:8" ht="15.75" customHeight="1" x14ac:dyDescent="0.25">
      <c r="G455" s="175"/>
      <c r="H455" s="175"/>
    </row>
    <row r="456" spans="7:8" ht="15.75" customHeight="1" x14ac:dyDescent="0.25">
      <c r="G456" s="175"/>
      <c r="H456" s="175"/>
    </row>
    <row r="457" spans="7:8" ht="15.75" customHeight="1" x14ac:dyDescent="0.25">
      <c r="G457" s="175"/>
      <c r="H457" s="175"/>
    </row>
    <row r="458" spans="7:8" ht="15.75" customHeight="1" x14ac:dyDescent="0.25">
      <c r="G458" s="175"/>
      <c r="H458" s="175"/>
    </row>
    <row r="459" spans="7:8" ht="15.75" customHeight="1" x14ac:dyDescent="0.25">
      <c r="G459" s="175"/>
      <c r="H459" s="175"/>
    </row>
    <row r="460" spans="7:8" ht="15.75" customHeight="1" x14ac:dyDescent="0.25">
      <c r="G460" s="175"/>
      <c r="H460" s="175"/>
    </row>
    <row r="461" spans="7:8" ht="15.75" customHeight="1" x14ac:dyDescent="0.25">
      <c r="G461" s="175"/>
      <c r="H461" s="175"/>
    </row>
    <row r="462" spans="7:8" ht="15.75" customHeight="1" x14ac:dyDescent="0.25">
      <c r="G462" s="175"/>
      <c r="H462" s="175"/>
    </row>
    <row r="463" spans="7:8" ht="15.75" customHeight="1" x14ac:dyDescent="0.25">
      <c r="G463" s="175"/>
      <c r="H463" s="175"/>
    </row>
    <row r="464" spans="7:8" ht="15.75" customHeight="1" x14ac:dyDescent="0.25">
      <c r="G464" s="175"/>
      <c r="H464" s="175"/>
    </row>
    <row r="465" spans="7:8" ht="15.75" customHeight="1" x14ac:dyDescent="0.25">
      <c r="G465" s="175"/>
      <c r="H465" s="175"/>
    </row>
    <row r="466" spans="7:8" ht="15.75" customHeight="1" x14ac:dyDescent="0.25">
      <c r="G466" s="175"/>
      <c r="H466" s="175"/>
    </row>
    <row r="467" spans="7:8" ht="15.75" customHeight="1" x14ac:dyDescent="0.25">
      <c r="G467" s="175"/>
      <c r="H467" s="175"/>
    </row>
    <row r="468" spans="7:8" ht="15.75" customHeight="1" x14ac:dyDescent="0.25">
      <c r="G468" s="175"/>
      <c r="H468" s="175"/>
    </row>
    <row r="469" spans="7:8" ht="15.75" customHeight="1" x14ac:dyDescent="0.25">
      <c r="G469" s="175"/>
      <c r="H469" s="175"/>
    </row>
    <row r="470" spans="7:8" ht="15.75" customHeight="1" x14ac:dyDescent="0.25">
      <c r="G470" s="175"/>
      <c r="H470" s="175"/>
    </row>
    <row r="471" spans="7:8" ht="15.75" customHeight="1" x14ac:dyDescent="0.25">
      <c r="G471" s="175"/>
      <c r="H471" s="175"/>
    </row>
    <row r="472" spans="7:8" ht="15.75" customHeight="1" x14ac:dyDescent="0.25">
      <c r="G472" s="175"/>
      <c r="H472" s="175"/>
    </row>
    <row r="473" spans="7:8" ht="15.75" customHeight="1" x14ac:dyDescent="0.25">
      <c r="G473" s="175"/>
      <c r="H473" s="175"/>
    </row>
    <row r="474" spans="7:8" ht="15.75" customHeight="1" x14ac:dyDescent="0.25">
      <c r="G474" s="175"/>
      <c r="H474" s="175"/>
    </row>
    <row r="475" spans="7:8" ht="15.75" customHeight="1" x14ac:dyDescent="0.25">
      <c r="G475" s="175"/>
      <c r="H475" s="175"/>
    </row>
    <row r="476" spans="7:8" ht="15.75" customHeight="1" x14ac:dyDescent="0.25">
      <c r="G476" s="175"/>
      <c r="H476" s="175"/>
    </row>
    <row r="477" spans="7:8" ht="15.75" customHeight="1" x14ac:dyDescent="0.25">
      <c r="G477" s="175"/>
      <c r="H477" s="175"/>
    </row>
    <row r="478" spans="7:8" ht="15.75" customHeight="1" x14ac:dyDescent="0.25">
      <c r="G478" s="175"/>
      <c r="H478" s="175"/>
    </row>
    <row r="479" spans="7:8" ht="15.75" customHeight="1" x14ac:dyDescent="0.25">
      <c r="G479" s="175"/>
      <c r="H479" s="175"/>
    </row>
    <row r="480" spans="7:8" ht="15.75" customHeight="1" x14ac:dyDescent="0.25">
      <c r="G480" s="175"/>
      <c r="H480" s="175"/>
    </row>
    <row r="481" spans="7:8" ht="15.75" customHeight="1" x14ac:dyDescent="0.25">
      <c r="G481" s="175"/>
      <c r="H481" s="175"/>
    </row>
    <row r="482" spans="7:8" ht="15.75" customHeight="1" x14ac:dyDescent="0.25">
      <c r="G482" s="175"/>
      <c r="H482" s="175"/>
    </row>
    <row r="483" spans="7:8" ht="15.75" customHeight="1" x14ac:dyDescent="0.25">
      <c r="G483" s="175"/>
      <c r="H483" s="175"/>
    </row>
    <row r="484" spans="7:8" ht="15.75" customHeight="1" x14ac:dyDescent="0.25">
      <c r="G484" s="175"/>
      <c r="H484" s="175"/>
    </row>
    <row r="485" spans="7:8" ht="15.75" customHeight="1" x14ac:dyDescent="0.25">
      <c r="G485" s="175"/>
      <c r="H485" s="175"/>
    </row>
    <row r="486" spans="7:8" ht="15.75" customHeight="1" x14ac:dyDescent="0.25">
      <c r="G486" s="175"/>
      <c r="H486" s="175"/>
    </row>
    <row r="487" spans="7:8" ht="15.75" customHeight="1" x14ac:dyDescent="0.25">
      <c r="G487" s="175"/>
      <c r="H487" s="175"/>
    </row>
    <row r="488" spans="7:8" ht="15.75" customHeight="1" x14ac:dyDescent="0.25">
      <c r="G488" s="175"/>
      <c r="H488" s="175"/>
    </row>
    <row r="489" spans="7:8" ht="15.75" customHeight="1" x14ac:dyDescent="0.25">
      <c r="G489" s="175"/>
      <c r="H489" s="175"/>
    </row>
    <row r="490" spans="7:8" ht="15.75" customHeight="1" x14ac:dyDescent="0.25">
      <c r="G490" s="175"/>
      <c r="H490" s="175"/>
    </row>
    <row r="491" spans="7:8" ht="15.75" customHeight="1" x14ac:dyDescent="0.25">
      <c r="G491" s="175"/>
      <c r="H491" s="175"/>
    </row>
    <row r="492" spans="7:8" ht="15.75" customHeight="1" x14ac:dyDescent="0.25">
      <c r="G492" s="175"/>
      <c r="H492" s="175"/>
    </row>
    <row r="493" spans="7:8" ht="15.75" customHeight="1" x14ac:dyDescent="0.25">
      <c r="G493" s="175"/>
      <c r="H493" s="175"/>
    </row>
    <row r="494" spans="7:8" ht="15.75" customHeight="1" x14ac:dyDescent="0.25">
      <c r="G494" s="175"/>
      <c r="H494" s="175"/>
    </row>
    <row r="495" spans="7:8" ht="15.75" customHeight="1" x14ac:dyDescent="0.25">
      <c r="G495" s="175"/>
      <c r="H495" s="175"/>
    </row>
    <row r="496" spans="7:8" ht="15.75" customHeight="1" x14ac:dyDescent="0.25">
      <c r="G496" s="175"/>
      <c r="H496" s="175"/>
    </row>
    <row r="497" spans="7:8" ht="15.75" customHeight="1" x14ac:dyDescent="0.25">
      <c r="G497" s="175"/>
      <c r="H497" s="175"/>
    </row>
    <row r="498" spans="7:8" ht="15.75" customHeight="1" x14ac:dyDescent="0.25">
      <c r="G498" s="175"/>
      <c r="H498" s="175"/>
    </row>
    <row r="499" spans="7:8" ht="15.75" customHeight="1" x14ac:dyDescent="0.25">
      <c r="G499" s="175"/>
      <c r="H499" s="175"/>
    </row>
    <row r="500" spans="7:8" ht="15.75" customHeight="1" x14ac:dyDescent="0.25">
      <c r="G500" s="175"/>
      <c r="H500" s="175"/>
    </row>
    <row r="501" spans="7:8" ht="15.75" customHeight="1" x14ac:dyDescent="0.25">
      <c r="G501" s="175"/>
      <c r="H501" s="175"/>
    </row>
    <row r="502" spans="7:8" ht="15.75" customHeight="1" x14ac:dyDescent="0.25">
      <c r="G502" s="175"/>
      <c r="H502" s="175"/>
    </row>
    <row r="503" spans="7:8" ht="15.75" customHeight="1" x14ac:dyDescent="0.25">
      <c r="G503" s="175"/>
      <c r="H503" s="175"/>
    </row>
    <row r="504" spans="7:8" ht="15.75" customHeight="1" x14ac:dyDescent="0.25">
      <c r="G504" s="175"/>
      <c r="H504" s="175"/>
    </row>
    <row r="505" spans="7:8" ht="15.75" customHeight="1" x14ac:dyDescent="0.25">
      <c r="G505" s="175"/>
      <c r="H505" s="175"/>
    </row>
    <row r="506" spans="7:8" ht="15.75" customHeight="1" x14ac:dyDescent="0.25">
      <c r="G506" s="175"/>
      <c r="H506" s="175"/>
    </row>
    <row r="507" spans="7:8" ht="15.75" customHeight="1" x14ac:dyDescent="0.25">
      <c r="G507" s="175"/>
      <c r="H507" s="175"/>
    </row>
    <row r="508" spans="7:8" ht="15.75" customHeight="1" x14ac:dyDescent="0.25">
      <c r="G508" s="175"/>
      <c r="H508" s="175"/>
    </row>
    <row r="509" spans="7:8" ht="15.75" customHeight="1" x14ac:dyDescent="0.25">
      <c r="G509" s="175"/>
      <c r="H509" s="175"/>
    </row>
    <row r="510" spans="7:8" ht="15.75" customHeight="1" x14ac:dyDescent="0.25">
      <c r="G510" s="175"/>
      <c r="H510" s="175"/>
    </row>
    <row r="511" spans="7:8" ht="15.75" customHeight="1" x14ac:dyDescent="0.25">
      <c r="G511" s="175"/>
      <c r="H511" s="175"/>
    </row>
    <row r="512" spans="7:8" ht="15.75" customHeight="1" x14ac:dyDescent="0.25">
      <c r="G512" s="175"/>
      <c r="H512" s="175"/>
    </row>
    <row r="513" spans="7:8" ht="15.75" customHeight="1" x14ac:dyDescent="0.25">
      <c r="G513" s="175"/>
      <c r="H513" s="175"/>
    </row>
    <row r="514" spans="7:8" ht="15.75" customHeight="1" x14ac:dyDescent="0.25">
      <c r="G514" s="175"/>
      <c r="H514" s="175"/>
    </row>
    <row r="515" spans="7:8" ht="15.75" customHeight="1" x14ac:dyDescent="0.25">
      <c r="G515" s="175"/>
      <c r="H515" s="175"/>
    </row>
    <row r="516" spans="7:8" ht="15.75" customHeight="1" x14ac:dyDescent="0.25">
      <c r="G516" s="175"/>
      <c r="H516" s="175"/>
    </row>
    <row r="517" spans="7:8" ht="15.75" customHeight="1" x14ac:dyDescent="0.25">
      <c r="G517" s="175"/>
      <c r="H517" s="175"/>
    </row>
    <row r="518" spans="7:8" ht="15.75" customHeight="1" x14ac:dyDescent="0.25">
      <c r="G518" s="175"/>
      <c r="H518" s="175"/>
    </row>
    <row r="519" spans="7:8" ht="15.75" customHeight="1" x14ac:dyDescent="0.25">
      <c r="G519" s="175"/>
      <c r="H519" s="175"/>
    </row>
    <row r="520" spans="7:8" ht="15.75" customHeight="1" x14ac:dyDescent="0.25">
      <c r="G520" s="175"/>
      <c r="H520" s="175"/>
    </row>
    <row r="521" spans="7:8" ht="15.75" customHeight="1" x14ac:dyDescent="0.25">
      <c r="G521" s="175"/>
      <c r="H521" s="175"/>
    </row>
    <row r="522" spans="7:8" ht="15.75" customHeight="1" x14ac:dyDescent="0.25">
      <c r="G522" s="175"/>
      <c r="H522" s="175"/>
    </row>
    <row r="523" spans="7:8" ht="15.75" customHeight="1" x14ac:dyDescent="0.25">
      <c r="G523" s="175"/>
      <c r="H523" s="175"/>
    </row>
    <row r="524" spans="7:8" ht="15.75" customHeight="1" x14ac:dyDescent="0.25">
      <c r="G524" s="175"/>
      <c r="H524" s="175"/>
    </row>
    <row r="525" spans="7:8" ht="15.75" customHeight="1" x14ac:dyDescent="0.25">
      <c r="G525" s="175"/>
      <c r="H525" s="175"/>
    </row>
    <row r="526" spans="7:8" ht="15.75" customHeight="1" x14ac:dyDescent="0.25">
      <c r="G526" s="175"/>
      <c r="H526" s="175"/>
    </row>
    <row r="527" spans="7:8" ht="15.75" customHeight="1" x14ac:dyDescent="0.25">
      <c r="G527" s="175"/>
      <c r="H527" s="175"/>
    </row>
    <row r="528" spans="7:8" ht="15.75" customHeight="1" x14ac:dyDescent="0.25">
      <c r="G528" s="175"/>
      <c r="H528" s="175"/>
    </row>
    <row r="529" spans="7:8" ht="15.75" customHeight="1" x14ac:dyDescent="0.25">
      <c r="G529" s="175"/>
      <c r="H529" s="175"/>
    </row>
    <row r="530" spans="7:8" ht="15.75" customHeight="1" x14ac:dyDescent="0.25">
      <c r="G530" s="175"/>
      <c r="H530" s="175"/>
    </row>
    <row r="531" spans="7:8" ht="15.75" customHeight="1" x14ac:dyDescent="0.25">
      <c r="G531" s="175"/>
      <c r="H531" s="175"/>
    </row>
    <row r="532" spans="7:8" ht="15.75" customHeight="1" x14ac:dyDescent="0.25">
      <c r="G532" s="175"/>
      <c r="H532" s="175"/>
    </row>
    <row r="533" spans="7:8" ht="15.75" customHeight="1" x14ac:dyDescent="0.25">
      <c r="G533" s="175"/>
      <c r="H533" s="175"/>
    </row>
    <row r="534" spans="7:8" ht="15.75" customHeight="1" x14ac:dyDescent="0.25">
      <c r="G534" s="175"/>
      <c r="H534" s="175"/>
    </row>
    <row r="535" spans="7:8" ht="15.75" customHeight="1" x14ac:dyDescent="0.25">
      <c r="G535" s="175"/>
      <c r="H535" s="175"/>
    </row>
    <row r="536" spans="7:8" ht="15.75" customHeight="1" x14ac:dyDescent="0.25">
      <c r="G536" s="175"/>
      <c r="H536" s="175"/>
    </row>
    <row r="537" spans="7:8" ht="15.75" customHeight="1" x14ac:dyDescent="0.25">
      <c r="G537" s="175"/>
      <c r="H537" s="175"/>
    </row>
    <row r="538" spans="7:8" ht="15.75" customHeight="1" x14ac:dyDescent="0.25">
      <c r="G538" s="175"/>
      <c r="H538" s="175"/>
    </row>
    <row r="539" spans="7:8" ht="15.75" customHeight="1" x14ac:dyDescent="0.25">
      <c r="G539" s="175"/>
      <c r="H539" s="175"/>
    </row>
    <row r="540" spans="7:8" ht="15.75" customHeight="1" x14ac:dyDescent="0.25">
      <c r="G540" s="175"/>
      <c r="H540" s="175"/>
    </row>
    <row r="541" spans="7:8" ht="15.75" customHeight="1" x14ac:dyDescent="0.25">
      <c r="G541" s="175"/>
      <c r="H541" s="175"/>
    </row>
    <row r="542" spans="7:8" ht="15.75" customHeight="1" x14ac:dyDescent="0.25">
      <c r="G542" s="175"/>
      <c r="H542" s="175"/>
    </row>
    <row r="543" spans="7:8" ht="15.75" customHeight="1" x14ac:dyDescent="0.25">
      <c r="G543" s="175"/>
      <c r="H543" s="175"/>
    </row>
    <row r="544" spans="7:8" ht="15.75" customHeight="1" x14ac:dyDescent="0.25">
      <c r="G544" s="175"/>
      <c r="H544" s="175"/>
    </row>
    <row r="545" spans="7:8" ht="15.75" customHeight="1" x14ac:dyDescent="0.25">
      <c r="G545" s="175"/>
      <c r="H545" s="175"/>
    </row>
    <row r="546" spans="7:8" ht="15.75" customHeight="1" x14ac:dyDescent="0.25">
      <c r="G546" s="175"/>
      <c r="H546" s="175"/>
    </row>
    <row r="547" spans="7:8" ht="15.75" customHeight="1" x14ac:dyDescent="0.25">
      <c r="G547" s="175"/>
      <c r="H547" s="175"/>
    </row>
    <row r="548" spans="7:8" ht="15.75" customHeight="1" x14ac:dyDescent="0.25">
      <c r="G548" s="175"/>
      <c r="H548" s="175"/>
    </row>
    <row r="549" spans="7:8" ht="15.75" customHeight="1" x14ac:dyDescent="0.25">
      <c r="G549" s="175"/>
      <c r="H549" s="175"/>
    </row>
    <row r="550" spans="7:8" ht="15.75" customHeight="1" x14ac:dyDescent="0.25">
      <c r="G550" s="175"/>
      <c r="H550" s="175"/>
    </row>
    <row r="551" spans="7:8" ht="15.75" customHeight="1" x14ac:dyDescent="0.25">
      <c r="G551" s="175"/>
      <c r="H551" s="175"/>
    </row>
    <row r="552" spans="7:8" ht="15.75" customHeight="1" x14ac:dyDescent="0.25">
      <c r="G552" s="175"/>
      <c r="H552" s="175"/>
    </row>
    <row r="553" spans="7:8" ht="15.75" customHeight="1" x14ac:dyDescent="0.25">
      <c r="G553" s="175"/>
      <c r="H553" s="175"/>
    </row>
    <row r="554" spans="7:8" ht="15.75" customHeight="1" x14ac:dyDescent="0.25">
      <c r="G554" s="175"/>
      <c r="H554" s="175"/>
    </row>
    <row r="555" spans="7:8" ht="15.75" customHeight="1" x14ac:dyDescent="0.25">
      <c r="G555" s="175"/>
      <c r="H555" s="175"/>
    </row>
    <row r="556" spans="7:8" ht="15.75" customHeight="1" x14ac:dyDescent="0.25">
      <c r="G556" s="175"/>
      <c r="H556" s="175"/>
    </row>
    <row r="557" spans="7:8" ht="15.75" customHeight="1" x14ac:dyDescent="0.25">
      <c r="G557" s="175"/>
      <c r="H557" s="175"/>
    </row>
    <row r="558" spans="7:8" ht="15.75" customHeight="1" x14ac:dyDescent="0.25">
      <c r="G558" s="175"/>
      <c r="H558" s="175"/>
    </row>
    <row r="559" spans="7:8" ht="15.75" customHeight="1" x14ac:dyDescent="0.25">
      <c r="G559" s="175"/>
      <c r="H559" s="175"/>
    </row>
    <row r="560" spans="7:8" ht="15.75" customHeight="1" x14ac:dyDescent="0.25">
      <c r="G560" s="175"/>
      <c r="H560" s="175"/>
    </row>
    <row r="561" spans="7:8" ht="15.75" customHeight="1" x14ac:dyDescent="0.25">
      <c r="G561" s="175"/>
      <c r="H561" s="175"/>
    </row>
    <row r="562" spans="7:8" ht="15.75" customHeight="1" x14ac:dyDescent="0.25">
      <c r="G562" s="175"/>
      <c r="H562" s="175"/>
    </row>
    <row r="563" spans="7:8" ht="15.75" customHeight="1" x14ac:dyDescent="0.25">
      <c r="G563" s="175"/>
      <c r="H563" s="175"/>
    </row>
    <row r="564" spans="7:8" ht="15.75" customHeight="1" x14ac:dyDescent="0.25">
      <c r="G564" s="175"/>
      <c r="H564" s="175"/>
    </row>
    <row r="565" spans="7:8" ht="15.75" customHeight="1" x14ac:dyDescent="0.25">
      <c r="G565" s="175"/>
      <c r="H565" s="175"/>
    </row>
    <row r="566" spans="7:8" ht="15.75" customHeight="1" x14ac:dyDescent="0.25">
      <c r="G566" s="175"/>
      <c r="H566" s="175"/>
    </row>
    <row r="567" spans="7:8" ht="15.75" customHeight="1" x14ac:dyDescent="0.25">
      <c r="G567" s="175"/>
      <c r="H567" s="175"/>
    </row>
    <row r="568" spans="7:8" ht="15.75" customHeight="1" x14ac:dyDescent="0.25">
      <c r="G568" s="175"/>
      <c r="H568" s="175"/>
    </row>
    <row r="569" spans="7:8" ht="15.75" customHeight="1" x14ac:dyDescent="0.25">
      <c r="G569" s="175"/>
      <c r="H569" s="175"/>
    </row>
    <row r="570" spans="7:8" ht="15.75" customHeight="1" x14ac:dyDescent="0.25">
      <c r="G570" s="175"/>
      <c r="H570" s="175"/>
    </row>
    <row r="571" spans="7:8" ht="15.75" customHeight="1" x14ac:dyDescent="0.25">
      <c r="G571" s="175"/>
      <c r="H571" s="175"/>
    </row>
    <row r="572" spans="7:8" ht="15.75" customHeight="1" x14ac:dyDescent="0.25">
      <c r="G572" s="175"/>
      <c r="H572" s="175"/>
    </row>
    <row r="573" spans="7:8" ht="15.75" customHeight="1" x14ac:dyDescent="0.25">
      <c r="G573" s="175"/>
      <c r="H573" s="175"/>
    </row>
    <row r="574" spans="7:8" ht="15.75" customHeight="1" x14ac:dyDescent="0.25">
      <c r="G574" s="175"/>
      <c r="H574" s="175"/>
    </row>
    <row r="575" spans="7:8" ht="15.75" customHeight="1" x14ac:dyDescent="0.25">
      <c r="G575" s="175"/>
      <c r="H575" s="175"/>
    </row>
    <row r="576" spans="7:8" ht="15.75" customHeight="1" x14ac:dyDescent="0.25">
      <c r="G576" s="175"/>
      <c r="H576" s="175"/>
    </row>
    <row r="577" spans="7:8" ht="15.75" customHeight="1" x14ac:dyDescent="0.25">
      <c r="G577" s="175"/>
      <c r="H577" s="175"/>
    </row>
    <row r="578" spans="7:8" ht="15.75" customHeight="1" x14ac:dyDescent="0.25">
      <c r="G578" s="175"/>
      <c r="H578" s="175"/>
    </row>
    <row r="579" spans="7:8" ht="15.75" customHeight="1" x14ac:dyDescent="0.25">
      <c r="G579" s="175"/>
      <c r="H579" s="175"/>
    </row>
    <row r="580" spans="7:8" ht="15.75" customHeight="1" x14ac:dyDescent="0.25">
      <c r="G580" s="175"/>
      <c r="H580" s="175"/>
    </row>
    <row r="581" spans="7:8" ht="15.75" customHeight="1" x14ac:dyDescent="0.25">
      <c r="G581" s="175"/>
      <c r="H581" s="175"/>
    </row>
    <row r="582" spans="7:8" ht="15.75" customHeight="1" x14ac:dyDescent="0.25">
      <c r="G582" s="175"/>
      <c r="H582" s="175"/>
    </row>
    <row r="583" spans="7:8" ht="15.75" customHeight="1" x14ac:dyDescent="0.25">
      <c r="G583" s="175"/>
      <c r="H583" s="175"/>
    </row>
    <row r="584" spans="7:8" ht="15.75" customHeight="1" x14ac:dyDescent="0.25">
      <c r="G584" s="175"/>
      <c r="H584" s="175"/>
    </row>
    <row r="585" spans="7:8" ht="15.75" customHeight="1" x14ac:dyDescent="0.25">
      <c r="G585" s="175"/>
      <c r="H585" s="175"/>
    </row>
    <row r="586" spans="7:8" ht="15.75" customHeight="1" x14ac:dyDescent="0.25">
      <c r="G586" s="175"/>
      <c r="H586" s="175"/>
    </row>
    <row r="587" spans="7:8" ht="15.75" customHeight="1" x14ac:dyDescent="0.25">
      <c r="G587" s="175"/>
      <c r="H587" s="175"/>
    </row>
    <row r="588" spans="7:8" ht="15.75" customHeight="1" x14ac:dyDescent="0.25">
      <c r="G588" s="175"/>
      <c r="H588" s="175"/>
    </row>
    <row r="589" spans="7:8" ht="15.75" customHeight="1" x14ac:dyDescent="0.25">
      <c r="G589" s="175"/>
      <c r="H589" s="175"/>
    </row>
    <row r="590" spans="7:8" ht="15.75" customHeight="1" x14ac:dyDescent="0.25">
      <c r="G590" s="175"/>
      <c r="H590" s="175"/>
    </row>
    <row r="591" spans="7:8" ht="15.75" customHeight="1" x14ac:dyDescent="0.25">
      <c r="G591" s="175"/>
      <c r="H591" s="175"/>
    </row>
    <row r="592" spans="7:8" ht="15.75" customHeight="1" x14ac:dyDescent="0.25">
      <c r="G592" s="175"/>
      <c r="H592" s="175"/>
    </row>
    <row r="593" spans="7:8" ht="15.75" customHeight="1" x14ac:dyDescent="0.25">
      <c r="G593" s="175"/>
      <c r="H593" s="175"/>
    </row>
    <row r="594" spans="7:8" ht="15.75" customHeight="1" x14ac:dyDescent="0.25">
      <c r="G594" s="175"/>
      <c r="H594" s="175"/>
    </row>
    <row r="595" spans="7:8" ht="15.75" customHeight="1" x14ac:dyDescent="0.25">
      <c r="G595" s="175"/>
      <c r="H595" s="175"/>
    </row>
    <row r="596" spans="7:8" ht="15.75" customHeight="1" x14ac:dyDescent="0.25">
      <c r="G596" s="175"/>
      <c r="H596" s="175"/>
    </row>
    <row r="597" spans="7:8" ht="15.75" customHeight="1" x14ac:dyDescent="0.25">
      <c r="G597" s="175"/>
      <c r="H597" s="175"/>
    </row>
    <row r="598" spans="7:8" ht="15.75" customHeight="1" x14ac:dyDescent="0.25">
      <c r="G598" s="175"/>
      <c r="H598" s="175"/>
    </row>
    <row r="599" spans="7:8" ht="15.75" customHeight="1" x14ac:dyDescent="0.25">
      <c r="G599" s="175"/>
      <c r="H599" s="175"/>
    </row>
    <row r="600" spans="7:8" ht="15.75" customHeight="1" x14ac:dyDescent="0.25">
      <c r="G600" s="175"/>
      <c r="H600" s="175"/>
    </row>
    <row r="601" spans="7:8" ht="15.75" customHeight="1" x14ac:dyDescent="0.25">
      <c r="G601" s="175"/>
      <c r="H601" s="175"/>
    </row>
    <row r="602" spans="7:8" ht="15.75" customHeight="1" x14ac:dyDescent="0.25">
      <c r="G602" s="175"/>
      <c r="H602" s="175"/>
    </row>
    <row r="603" spans="7:8" ht="15.75" customHeight="1" x14ac:dyDescent="0.25">
      <c r="G603" s="175"/>
      <c r="H603" s="175"/>
    </row>
    <row r="604" spans="7:8" ht="15.75" customHeight="1" x14ac:dyDescent="0.25">
      <c r="G604" s="175"/>
      <c r="H604" s="175"/>
    </row>
    <row r="605" spans="7:8" ht="15.75" customHeight="1" x14ac:dyDescent="0.25">
      <c r="G605" s="175"/>
      <c r="H605" s="175"/>
    </row>
    <row r="606" spans="7:8" ht="15.75" customHeight="1" x14ac:dyDescent="0.25">
      <c r="G606" s="175"/>
      <c r="H606" s="175"/>
    </row>
    <row r="607" spans="7:8" ht="15.75" customHeight="1" x14ac:dyDescent="0.25">
      <c r="G607" s="175"/>
      <c r="H607" s="175"/>
    </row>
    <row r="608" spans="7:8" ht="15.75" customHeight="1" x14ac:dyDescent="0.25">
      <c r="G608" s="175"/>
      <c r="H608" s="175"/>
    </row>
    <row r="609" spans="7:8" ht="15.75" customHeight="1" x14ac:dyDescent="0.25">
      <c r="G609" s="175"/>
      <c r="H609" s="175"/>
    </row>
    <row r="610" spans="7:8" ht="15.75" customHeight="1" x14ac:dyDescent="0.25">
      <c r="G610" s="175"/>
      <c r="H610" s="175"/>
    </row>
    <row r="611" spans="7:8" ht="15.75" customHeight="1" x14ac:dyDescent="0.25">
      <c r="G611" s="175"/>
      <c r="H611" s="175"/>
    </row>
    <row r="612" spans="7:8" ht="15.75" customHeight="1" x14ac:dyDescent="0.25">
      <c r="G612" s="175"/>
      <c r="H612" s="175"/>
    </row>
    <row r="613" spans="7:8" ht="15.75" customHeight="1" x14ac:dyDescent="0.25">
      <c r="G613" s="175"/>
      <c r="H613" s="175"/>
    </row>
    <row r="614" spans="7:8" ht="15.75" customHeight="1" x14ac:dyDescent="0.25">
      <c r="G614" s="175"/>
      <c r="H614" s="175"/>
    </row>
    <row r="615" spans="7:8" ht="15.75" customHeight="1" x14ac:dyDescent="0.25">
      <c r="G615" s="175"/>
      <c r="H615" s="175"/>
    </row>
    <row r="616" spans="7:8" ht="15.75" customHeight="1" x14ac:dyDescent="0.25">
      <c r="G616" s="175"/>
      <c r="H616" s="175"/>
    </row>
    <row r="617" spans="7:8" ht="15.75" customHeight="1" x14ac:dyDescent="0.25">
      <c r="G617" s="175"/>
      <c r="H617" s="175"/>
    </row>
    <row r="618" spans="7:8" ht="15.75" customHeight="1" x14ac:dyDescent="0.25">
      <c r="G618" s="175"/>
      <c r="H618" s="175"/>
    </row>
    <row r="619" spans="7:8" ht="15.75" customHeight="1" x14ac:dyDescent="0.25">
      <c r="G619" s="175"/>
      <c r="H619" s="175"/>
    </row>
    <row r="620" spans="7:8" ht="15.75" customHeight="1" x14ac:dyDescent="0.25">
      <c r="G620" s="175"/>
      <c r="H620" s="175"/>
    </row>
    <row r="621" spans="7:8" ht="15.75" customHeight="1" x14ac:dyDescent="0.25">
      <c r="G621" s="175"/>
      <c r="H621" s="175"/>
    </row>
    <row r="622" spans="7:8" ht="15.75" customHeight="1" x14ac:dyDescent="0.25">
      <c r="G622" s="175"/>
      <c r="H622" s="175"/>
    </row>
    <row r="623" spans="7:8" ht="15.75" customHeight="1" x14ac:dyDescent="0.25">
      <c r="G623" s="175"/>
      <c r="H623" s="175"/>
    </row>
    <row r="624" spans="7:8" ht="15.75" customHeight="1" x14ac:dyDescent="0.25">
      <c r="G624" s="175"/>
      <c r="H624" s="175"/>
    </row>
    <row r="625" spans="7:8" ht="15.75" customHeight="1" x14ac:dyDescent="0.25">
      <c r="G625" s="175"/>
      <c r="H625" s="175"/>
    </row>
    <row r="626" spans="7:8" ht="15.75" customHeight="1" x14ac:dyDescent="0.25">
      <c r="G626" s="175"/>
      <c r="H626" s="175"/>
    </row>
    <row r="627" spans="7:8" ht="15.75" customHeight="1" x14ac:dyDescent="0.25">
      <c r="G627" s="175"/>
      <c r="H627" s="175"/>
    </row>
    <row r="628" spans="7:8" ht="15.75" customHeight="1" x14ac:dyDescent="0.25">
      <c r="G628" s="175"/>
      <c r="H628" s="175"/>
    </row>
    <row r="629" spans="7:8" ht="15.75" customHeight="1" x14ac:dyDescent="0.25">
      <c r="G629" s="175"/>
      <c r="H629" s="175"/>
    </row>
    <row r="630" spans="7:8" ht="15.75" customHeight="1" x14ac:dyDescent="0.25">
      <c r="G630" s="175"/>
      <c r="H630" s="175"/>
    </row>
    <row r="631" spans="7:8" ht="15.75" customHeight="1" x14ac:dyDescent="0.25">
      <c r="G631" s="175"/>
      <c r="H631" s="175"/>
    </row>
    <row r="632" spans="7:8" ht="15.75" customHeight="1" x14ac:dyDescent="0.25">
      <c r="G632" s="175"/>
      <c r="H632" s="175"/>
    </row>
    <row r="633" spans="7:8" ht="15.75" customHeight="1" x14ac:dyDescent="0.25">
      <c r="G633" s="175"/>
      <c r="H633" s="175"/>
    </row>
    <row r="634" spans="7:8" ht="15.75" customHeight="1" x14ac:dyDescent="0.25">
      <c r="G634" s="175"/>
      <c r="H634" s="175"/>
    </row>
    <row r="635" spans="7:8" ht="15.75" customHeight="1" x14ac:dyDescent="0.25">
      <c r="G635" s="175"/>
      <c r="H635" s="175"/>
    </row>
    <row r="636" spans="7:8" ht="15.75" customHeight="1" x14ac:dyDescent="0.25">
      <c r="G636" s="175"/>
      <c r="H636" s="175"/>
    </row>
    <row r="637" spans="7:8" ht="15.75" customHeight="1" x14ac:dyDescent="0.25">
      <c r="G637" s="175"/>
      <c r="H637" s="175"/>
    </row>
    <row r="638" spans="7:8" ht="15.75" customHeight="1" x14ac:dyDescent="0.25">
      <c r="G638" s="175"/>
      <c r="H638" s="175"/>
    </row>
    <row r="639" spans="7:8" ht="15.75" customHeight="1" x14ac:dyDescent="0.25">
      <c r="G639" s="175"/>
      <c r="H639" s="175"/>
    </row>
    <row r="640" spans="7:8" ht="15.75" customHeight="1" x14ac:dyDescent="0.25">
      <c r="G640" s="175"/>
      <c r="H640" s="175"/>
    </row>
    <row r="641" spans="7:8" ht="15.75" customHeight="1" x14ac:dyDescent="0.25">
      <c r="G641" s="175"/>
      <c r="H641" s="175"/>
    </row>
    <row r="642" spans="7:8" ht="15.75" customHeight="1" x14ac:dyDescent="0.25">
      <c r="G642" s="175"/>
      <c r="H642" s="175"/>
    </row>
    <row r="643" spans="7:8" ht="15.75" customHeight="1" x14ac:dyDescent="0.25">
      <c r="G643" s="175"/>
      <c r="H643" s="175"/>
    </row>
    <row r="644" spans="7:8" ht="15.75" customHeight="1" x14ac:dyDescent="0.25">
      <c r="G644" s="175"/>
      <c r="H644" s="175"/>
    </row>
    <row r="645" spans="7:8" ht="15.75" customHeight="1" x14ac:dyDescent="0.25">
      <c r="G645" s="175"/>
      <c r="H645" s="175"/>
    </row>
    <row r="646" spans="7:8" ht="15.75" customHeight="1" x14ac:dyDescent="0.25">
      <c r="G646" s="175"/>
      <c r="H646" s="175"/>
    </row>
    <row r="647" spans="7:8" ht="15.75" customHeight="1" x14ac:dyDescent="0.25">
      <c r="G647" s="175"/>
      <c r="H647" s="175"/>
    </row>
    <row r="648" spans="7:8" ht="15.75" customHeight="1" x14ac:dyDescent="0.25">
      <c r="G648" s="175"/>
      <c r="H648" s="175"/>
    </row>
    <row r="649" spans="7:8" ht="15.75" customHeight="1" x14ac:dyDescent="0.25">
      <c r="G649" s="175"/>
      <c r="H649" s="175"/>
    </row>
    <row r="650" spans="7:8" ht="15.75" customHeight="1" x14ac:dyDescent="0.25">
      <c r="G650" s="175"/>
      <c r="H650" s="175"/>
    </row>
    <row r="651" spans="7:8" ht="15.75" customHeight="1" x14ac:dyDescent="0.25">
      <c r="G651" s="175"/>
      <c r="H651" s="175"/>
    </row>
    <row r="652" spans="7:8" ht="15.75" customHeight="1" x14ac:dyDescent="0.25">
      <c r="G652" s="175"/>
      <c r="H652" s="175"/>
    </row>
    <row r="653" spans="7:8" ht="15.75" customHeight="1" x14ac:dyDescent="0.25">
      <c r="G653" s="175"/>
      <c r="H653" s="175"/>
    </row>
    <row r="654" spans="7:8" ht="15.75" customHeight="1" x14ac:dyDescent="0.25">
      <c r="G654" s="175"/>
      <c r="H654" s="175"/>
    </row>
    <row r="655" spans="7:8" ht="15.75" customHeight="1" x14ac:dyDescent="0.25">
      <c r="G655" s="175"/>
      <c r="H655" s="175"/>
    </row>
    <row r="656" spans="7:8" ht="15.75" customHeight="1" x14ac:dyDescent="0.25">
      <c r="G656" s="175"/>
      <c r="H656" s="175"/>
    </row>
    <row r="657" spans="7:8" ht="15.75" customHeight="1" x14ac:dyDescent="0.25">
      <c r="G657" s="175"/>
      <c r="H657" s="175"/>
    </row>
    <row r="658" spans="7:8" ht="15.75" customHeight="1" x14ac:dyDescent="0.25">
      <c r="G658" s="175"/>
      <c r="H658" s="175"/>
    </row>
    <row r="659" spans="7:8" ht="15.75" customHeight="1" x14ac:dyDescent="0.25">
      <c r="G659" s="175"/>
      <c r="H659" s="175"/>
    </row>
    <row r="660" spans="7:8" ht="15.75" customHeight="1" x14ac:dyDescent="0.25">
      <c r="G660" s="175"/>
      <c r="H660" s="175"/>
    </row>
    <row r="661" spans="7:8" ht="15.75" customHeight="1" x14ac:dyDescent="0.25">
      <c r="G661" s="175"/>
      <c r="H661" s="175"/>
    </row>
    <row r="662" spans="7:8" ht="15.75" customHeight="1" x14ac:dyDescent="0.25">
      <c r="G662" s="175"/>
      <c r="H662" s="175"/>
    </row>
    <row r="663" spans="7:8" ht="15.75" customHeight="1" x14ac:dyDescent="0.25">
      <c r="G663" s="175"/>
      <c r="H663" s="175"/>
    </row>
    <row r="664" spans="7:8" ht="15.75" customHeight="1" x14ac:dyDescent="0.25">
      <c r="G664" s="175"/>
      <c r="H664" s="175"/>
    </row>
    <row r="665" spans="7:8" ht="15.75" customHeight="1" x14ac:dyDescent="0.25">
      <c r="G665" s="175"/>
      <c r="H665" s="175"/>
    </row>
    <row r="666" spans="7:8" ht="15.75" customHeight="1" x14ac:dyDescent="0.25">
      <c r="G666" s="175"/>
      <c r="H666" s="175"/>
    </row>
    <row r="667" spans="7:8" ht="15.75" customHeight="1" x14ac:dyDescent="0.25">
      <c r="G667" s="175"/>
      <c r="H667" s="175"/>
    </row>
    <row r="668" spans="7:8" ht="15.75" customHeight="1" x14ac:dyDescent="0.25">
      <c r="G668" s="175"/>
      <c r="H668" s="175"/>
    </row>
    <row r="669" spans="7:8" ht="15.75" customHeight="1" x14ac:dyDescent="0.25">
      <c r="G669" s="175"/>
      <c r="H669" s="175"/>
    </row>
    <row r="670" spans="7:8" ht="15.75" customHeight="1" x14ac:dyDescent="0.25">
      <c r="G670" s="175"/>
      <c r="H670" s="175"/>
    </row>
    <row r="671" spans="7:8" ht="15.75" customHeight="1" x14ac:dyDescent="0.25">
      <c r="G671" s="175"/>
      <c r="H671" s="175"/>
    </row>
    <row r="672" spans="7:8" ht="15.75" customHeight="1" x14ac:dyDescent="0.25">
      <c r="G672" s="175"/>
      <c r="H672" s="175"/>
    </row>
    <row r="673" spans="7:8" ht="15.75" customHeight="1" x14ac:dyDescent="0.25">
      <c r="G673" s="175"/>
      <c r="H673" s="175"/>
    </row>
    <row r="674" spans="7:8" ht="15.75" customHeight="1" x14ac:dyDescent="0.25">
      <c r="G674" s="175"/>
      <c r="H674" s="175"/>
    </row>
    <row r="675" spans="7:8" ht="15.75" customHeight="1" x14ac:dyDescent="0.25">
      <c r="G675" s="175"/>
      <c r="H675" s="175"/>
    </row>
    <row r="676" spans="7:8" ht="15.75" customHeight="1" x14ac:dyDescent="0.25">
      <c r="G676" s="175"/>
      <c r="H676" s="175"/>
    </row>
    <row r="677" spans="7:8" ht="15.75" customHeight="1" x14ac:dyDescent="0.25">
      <c r="G677" s="175"/>
      <c r="H677" s="175"/>
    </row>
    <row r="678" spans="7:8" ht="15.75" customHeight="1" x14ac:dyDescent="0.25">
      <c r="G678" s="175"/>
      <c r="H678" s="175"/>
    </row>
    <row r="679" spans="7:8" ht="15.75" customHeight="1" x14ac:dyDescent="0.25">
      <c r="G679" s="175"/>
      <c r="H679" s="175"/>
    </row>
    <row r="680" spans="7:8" ht="15.75" customHeight="1" x14ac:dyDescent="0.25">
      <c r="G680" s="175"/>
      <c r="H680" s="175"/>
    </row>
    <row r="681" spans="7:8" ht="15.75" customHeight="1" x14ac:dyDescent="0.25">
      <c r="G681" s="175"/>
      <c r="H681" s="175"/>
    </row>
    <row r="682" spans="7:8" ht="15.75" customHeight="1" x14ac:dyDescent="0.25">
      <c r="G682" s="175"/>
      <c r="H682" s="175"/>
    </row>
    <row r="683" spans="7:8" ht="15.75" customHeight="1" x14ac:dyDescent="0.25">
      <c r="G683" s="175"/>
      <c r="H683" s="175"/>
    </row>
    <row r="684" spans="7:8" ht="15.75" customHeight="1" x14ac:dyDescent="0.25">
      <c r="G684" s="175"/>
      <c r="H684" s="175"/>
    </row>
    <row r="685" spans="7:8" ht="15.75" customHeight="1" x14ac:dyDescent="0.25">
      <c r="G685" s="175"/>
      <c r="H685" s="175"/>
    </row>
    <row r="686" spans="7:8" ht="15.75" customHeight="1" x14ac:dyDescent="0.25">
      <c r="G686" s="175"/>
      <c r="H686" s="175"/>
    </row>
    <row r="687" spans="7:8" ht="15.75" customHeight="1" x14ac:dyDescent="0.25">
      <c r="G687" s="175"/>
      <c r="H687" s="175"/>
    </row>
    <row r="688" spans="7:8" ht="15.75" customHeight="1" x14ac:dyDescent="0.25">
      <c r="G688" s="175"/>
      <c r="H688" s="175"/>
    </row>
    <row r="689" spans="7:8" ht="15.75" customHeight="1" x14ac:dyDescent="0.25">
      <c r="G689" s="175"/>
      <c r="H689" s="175"/>
    </row>
    <row r="690" spans="7:8" ht="15.75" customHeight="1" x14ac:dyDescent="0.25">
      <c r="G690" s="175"/>
      <c r="H690" s="175"/>
    </row>
    <row r="691" spans="7:8" ht="15.75" customHeight="1" x14ac:dyDescent="0.25">
      <c r="G691" s="175"/>
      <c r="H691" s="175"/>
    </row>
    <row r="692" spans="7:8" ht="15.75" customHeight="1" x14ac:dyDescent="0.25">
      <c r="G692" s="175"/>
      <c r="H692" s="175"/>
    </row>
    <row r="693" spans="7:8" ht="15.75" customHeight="1" x14ac:dyDescent="0.25">
      <c r="G693" s="175"/>
      <c r="H693" s="175"/>
    </row>
    <row r="694" spans="7:8" ht="15.75" customHeight="1" x14ac:dyDescent="0.25">
      <c r="G694" s="175"/>
      <c r="H694" s="175"/>
    </row>
    <row r="695" spans="7:8" ht="15.75" customHeight="1" x14ac:dyDescent="0.25">
      <c r="G695" s="175"/>
      <c r="H695" s="175"/>
    </row>
    <row r="696" spans="7:8" ht="15.75" customHeight="1" x14ac:dyDescent="0.25">
      <c r="G696" s="175"/>
      <c r="H696" s="175"/>
    </row>
    <row r="697" spans="7:8" ht="15.75" customHeight="1" x14ac:dyDescent="0.25">
      <c r="G697" s="175"/>
      <c r="H697" s="175"/>
    </row>
    <row r="698" spans="7:8" ht="15.75" customHeight="1" x14ac:dyDescent="0.25">
      <c r="G698" s="175"/>
      <c r="H698" s="175"/>
    </row>
    <row r="699" spans="7:8" ht="15.75" customHeight="1" x14ac:dyDescent="0.25">
      <c r="G699" s="175"/>
      <c r="H699" s="175"/>
    </row>
    <row r="700" spans="7:8" ht="15.75" customHeight="1" x14ac:dyDescent="0.25">
      <c r="G700" s="175"/>
      <c r="H700" s="175"/>
    </row>
    <row r="701" spans="7:8" ht="15.75" customHeight="1" x14ac:dyDescent="0.25">
      <c r="G701" s="175"/>
      <c r="H701" s="175"/>
    </row>
    <row r="702" spans="7:8" ht="15.75" customHeight="1" x14ac:dyDescent="0.25">
      <c r="G702" s="175"/>
      <c r="H702" s="175"/>
    </row>
    <row r="703" spans="7:8" ht="15.75" customHeight="1" x14ac:dyDescent="0.25">
      <c r="G703" s="175"/>
      <c r="H703" s="175"/>
    </row>
    <row r="704" spans="7:8" ht="15.75" customHeight="1" x14ac:dyDescent="0.25">
      <c r="G704" s="175"/>
      <c r="H704" s="175"/>
    </row>
    <row r="705" spans="7:8" ht="15.75" customHeight="1" x14ac:dyDescent="0.25">
      <c r="G705" s="175"/>
      <c r="H705" s="175"/>
    </row>
    <row r="706" spans="7:8" ht="15.75" customHeight="1" x14ac:dyDescent="0.25">
      <c r="G706" s="175"/>
      <c r="H706" s="175"/>
    </row>
    <row r="707" spans="7:8" ht="15.75" customHeight="1" x14ac:dyDescent="0.25">
      <c r="G707" s="175"/>
      <c r="H707" s="175"/>
    </row>
    <row r="708" spans="7:8" ht="15.75" customHeight="1" x14ac:dyDescent="0.25">
      <c r="G708" s="175"/>
      <c r="H708" s="175"/>
    </row>
    <row r="709" spans="7:8" ht="15.75" customHeight="1" x14ac:dyDescent="0.25">
      <c r="G709" s="175"/>
      <c r="H709" s="175"/>
    </row>
    <row r="710" spans="7:8" ht="15.75" customHeight="1" x14ac:dyDescent="0.25">
      <c r="G710" s="175"/>
      <c r="H710" s="175"/>
    </row>
    <row r="711" spans="7:8" ht="15.75" customHeight="1" x14ac:dyDescent="0.25">
      <c r="G711" s="175"/>
      <c r="H711" s="175"/>
    </row>
    <row r="712" spans="7:8" ht="15.75" customHeight="1" x14ac:dyDescent="0.25">
      <c r="G712" s="175"/>
      <c r="H712" s="175"/>
    </row>
    <row r="713" spans="7:8" ht="15.75" customHeight="1" x14ac:dyDescent="0.25">
      <c r="G713" s="175"/>
      <c r="H713" s="175"/>
    </row>
    <row r="714" spans="7:8" ht="15.75" customHeight="1" x14ac:dyDescent="0.25">
      <c r="G714" s="175"/>
      <c r="H714" s="175"/>
    </row>
    <row r="715" spans="7:8" ht="15.75" customHeight="1" x14ac:dyDescent="0.25">
      <c r="G715" s="175"/>
      <c r="H715" s="175"/>
    </row>
    <row r="716" spans="7:8" ht="15.75" customHeight="1" x14ac:dyDescent="0.25">
      <c r="G716" s="175"/>
      <c r="H716" s="175"/>
    </row>
    <row r="717" spans="7:8" ht="15.75" customHeight="1" x14ac:dyDescent="0.25">
      <c r="G717" s="175"/>
      <c r="H717" s="175"/>
    </row>
    <row r="718" spans="7:8" ht="15.75" customHeight="1" x14ac:dyDescent="0.25">
      <c r="G718" s="175"/>
      <c r="H718" s="175"/>
    </row>
    <row r="719" spans="7:8" ht="15.75" customHeight="1" x14ac:dyDescent="0.25">
      <c r="G719" s="175"/>
      <c r="H719" s="175"/>
    </row>
    <row r="720" spans="7:8" ht="15.75" customHeight="1" x14ac:dyDescent="0.25">
      <c r="G720" s="175"/>
      <c r="H720" s="175"/>
    </row>
    <row r="721" spans="7:8" ht="15.75" customHeight="1" x14ac:dyDescent="0.25">
      <c r="G721" s="175"/>
      <c r="H721" s="175"/>
    </row>
    <row r="722" spans="7:8" ht="15.75" customHeight="1" x14ac:dyDescent="0.25">
      <c r="G722" s="175"/>
      <c r="H722" s="175"/>
    </row>
    <row r="723" spans="7:8" ht="15.75" customHeight="1" x14ac:dyDescent="0.25">
      <c r="G723" s="175"/>
      <c r="H723" s="175"/>
    </row>
    <row r="724" spans="7:8" ht="15.75" customHeight="1" x14ac:dyDescent="0.25">
      <c r="G724" s="175"/>
      <c r="H724" s="175"/>
    </row>
    <row r="725" spans="7:8" ht="15.75" customHeight="1" x14ac:dyDescent="0.25">
      <c r="G725" s="175"/>
      <c r="H725" s="175"/>
    </row>
    <row r="726" spans="7:8" ht="15.75" customHeight="1" x14ac:dyDescent="0.25">
      <c r="G726" s="175"/>
      <c r="H726" s="175"/>
    </row>
    <row r="727" spans="7:8" ht="15.75" customHeight="1" x14ac:dyDescent="0.25">
      <c r="G727" s="175"/>
      <c r="H727" s="175"/>
    </row>
    <row r="728" spans="7:8" ht="15.75" customHeight="1" x14ac:dyDescent="0.25">
      <c r="G728" s="175"/>
      <c r="H728" s="175"/>
    </row>
    <row r="729" spans="7:8" ht="15.75" customHeight="1" x14ac:dyDescent="0.25">
      <c r="G729" s="175"/>
      <c r="H729" s="175"/>
    </row>
    <row r="730" spans="7:8" ht="15.75" customHeight="1" x14ac:dyDescent="0.25">
      <c r="G730" s="175"/>
      <c r="H730" s="175"/>
    </row>
    <row r="731" spans="7:8" ht="15.75" customHeight="1" x14ac:dyDescent="0.25">
      <c r="G731" s="175"/>
      <c r="H731" s="175"/>
    </row>
    <row r="732" spans="7:8" ht="15.75" customHeight="1" x14ac:dyDescent="0.25">
      <c r="G732" s="175"/>
      <c r="H732" s="175"/>
    </row>
    <row r="733" spans="7:8" ht="15.75" customHeight="1" x14ac:dyDescent="0.25">
      <c r="G733" s="175"/>
      <c r="H733" s="175"/>
    </row>
    <row r="734" spans="7:8" ht="15.75" customHeight="1" x14ac:dyDescent="0.25">
      <c r="G734" s="175"/>
      <c r="H734" s="175"/>
    </row>
    <row r="735" spans="7:8" ht="15.75" customHeight="1" x14ac:dyDescent="0.25">
      <c r="G735" s="175"/>
      <c r="H735" s="175"/>
    </row>
    <row r="736" spans="7:8" ht="15.75" customHeight="1" x14ac:dyDescent="0.25">
      <c r="G736" s="175"/>
      <c r="H736" s="175"/>
    </row>
    <row r="737" spans="7:8" ht="15.75" customHeight="1" x14ac:dyDescent="0.25">
      <c r="G737" s="175"/>
      <c r="H737" s="175"/>
    </row>
    <row r="738" spans="7:8" ht="15.75" customHeight="1" x14ac:dyDescent="0.25">
      <c r="G738" s="175"/>
      <c r="H738" s="175"/>
    </row>
    <row r="739" spans="7:8" ht="15.75" customHeight="1" x14ac:dyDescent="0.25">
      <c r="G739" s="175"/>
      <c r="H739" s="175"/>
    </row>
    <row r="740" spans="7:8" ht="15.75" customHeight="1" x14ac:dyDescent="0.25">
      <c r="G740" s="175"/>
      <c r="H740" s="175"/>
    </row>
    <row r="741" spans="7:8" ht="15.75" customHeight="1" x14ac:dyDescent="0.25">
      <c r="G741" s="175"/>
      <c r="H741" s="175"/>
    </row>
    <row r="742" spans="7:8" ht="15.75" customHeight="1" x14ac:dyDescent="0.25">
      <c r="G742" s="175"/>
      <c r="H742" s="175"/>
    </row>
    <row r="743" spans="7:8" ht="15.75" customHeight="1" x14ac:dyDescent="0.25">
      <c r="G743" s="175"/>
      <c r="H743" s="175"/>
    </row>
    <row r="744" spans="7:8" ht="15.75" customHeight="1" x14ac:dyDescent="0.25">
      <c r="G744" s="175"/>
      <c r="H744" s="175"/>
    </row>
    <row r="745" spans="7:8" ht="15.75" customHeight="1" x14ac:dyDescent="0.25">
      <c r="G745" s="175"/>
      <c r="H745" s="175"/>
    </row>
    <row r="746" spans="7:8" ht="15.75" customHeight="1" x14ac:dyDescent="0.25">
      <c r="G746" s="175"/>
      <c r="H746" s="175"/>
    </row>
    <row r="747" spans="7:8" ht="15.75" customHeight="1" x14ac:dyDescent="0.25">
      <c r="G747" s="175"/>
      <c r="H747" s="175"/>
    </row>
    <row r="748" spans="7:8" ht="15.75" customHeight="1" x14ac:dyDescent="0.25">
      <c r="G748" s="175"/>
      <c r="H748" s="175"/>
    </row>
    <row r="749" spans="7:8" ht="15.75" customHeight="1" x14ac:dyDescent="0.25">
      <c r="G749" s="175"/>
      <c r="H749" s="175"/>
    </row>
    <row r="750" spans="7:8" ht="15.75" customHeight="1" x14ac:dyDescent="0.25">
      <c r="G750" s="175"/>
      <c r="H750" s="175"/>
    </row>
    <row r="751" spans="7:8" ht="15.75" customHeight="1" x14ac:dyDescent="0.25">
      <c r="G751" s="175"/>
      <c r="H751" s="175"/>
    </row>
    <row r="752" spans="7:8" ht="15.75" customHeight="1" x14ac:dyDescent="0.25">
      <c r="G752" s="175"/>
      <c r="H752" s="175"/>
    </row>
    <row r="753" spans="7:8" ht="15.75" customHeight="1" x14ac:dyDescent="0.25">
      <c r="G753" s="175"/>
      <c r="H753" s="175"/>
    </row>
    <row r="754" spans="7:8" ht="15.75" customHeight="1" x14ac:dyDescent="0.25">
      <c r="G754" s="175"/>
      <c r="H754" s="175"/>
    </row>
    <row r="755" spans="7:8" ht="15.75" customHeight="1" x14ac:dyDescent="0.25">
      <c r="G755" s="175"/>
      <c r="H755" s="175"/>
    </row>
    <row r="756" spans="7:8" ht="15.75" customHeight="1" x14ac:dyDescent="0.25">
      <c r="G756" s="175"/>
      <c r="H756" s="175"/>
    </row>
    <row r="757" spans="7:8" ht="15.75" customHeight="1" x14ac:dyDescent="0.25">
      <c r="G757" s="175"/>
      <c r="H757" s="175"/>
    </row>
    <row r="758" spans="7:8" ht="15.75" customHeight="1" x14ac:dyDescent="0.25">
      <c r="G758" s="175"/>
      <c r="H758" s="175"/>
    </row>
    <row r="759" spans="7:8" ht="15.75" customHeight="1" x14ac:dyDescent="0.25">
      <c r="G759" s="175"/>
      <c r="H759" s="175"/>
    </row>
    <row r="760" spans="7:8" ht="15.75" customHeight="1" x14ac:dyDescent="0.25">
      <c r="G760" s="175"/>
      <c r="H760" s="175"/>
    </row>
    <row r="761" spans="7:8" ht="15.75" customHeight="1" x14ac:dyDescent="0.25">
      <c r="G761" s="175"/>
      <c r="H761" s="175"/>
    </row>
    <row r="762" spans="7:8" ht="15.75" customHeight="1" x14ac:dyDescent="0.25">
      <c r="G762" s="175"/>
      <c r="H762" s="175"/>
    </row>
    <row r="763" spans="7:8" ht="15.75" customHeight="1" x14ac:dyDescent="0.25">
      <c r="G763" s="175"/>
      <c r="H763" s="175"/>
    </row>
    <row r="764" spans="7:8" ht="15.75" customHeight="1" x14ac:dyDescent="0.25">
      <c r="G764" s="175"/>
      <c r="H764" s="175"/>
    </row>
    <row r="765" spans="7:8" ht="15.75" customHeight="1" x14ac:dyDescent="0.25">
      <c r="G765" s="175"/>
      <c r="H765" s="175"/>
    </row>
    <row r="766" spans="7:8" ht="15.75" customHeight="1" x14ac:dyDescent="0.25">
      <c r="G766" s="175"/>
      <c r="H766" s="175"/>
    </row>
    <row r="767" spans="7:8" ht="15.75" customHeight="1" x14ac:dyDescent="0.25">
      <c r="G767" s="175"/>
      <c r="H767" s="175"/>
    </row>
    <row r="768" spans="7:8" ht="15.75" customHeight="1" x14ac:dyDescent="0.25">
      <c r="G768" s="175"/>
      <c r="H768" s="175"/>
    </row>
    <row r="769" spans="7:8" ht="15.75" customHeight="1" x14ac:dyDescent="0.25">
      <c r="G769" s="175"/>
      <c r="H769" s="175"/>
    </row>
    <row r="770" spans="7:8" ht="15.75" customHeight="1" x14ac:dyDescent="0.25">
      <c r="G770" s="175"/>
      <c r="H770" s="175"/>
    </row>
    <row r="771" spans="7:8" ht="15.75" customHeight="1" x14ac:dyDescent="0.25">
      <c r="G771" s="175"/>
      <c r="H771" s="175"/>
    </row>
    <row r="772" spans="7:8" ht="15.75" customHeight="1" x14ac:dyDescent="0.25">
      <c r="G772" s="175"/>
      <c r="H772" s="175"/>
    </row>
    <row r="773" spans="7:8" ht="15.75" customHeight="1" x14ac:dyDescent="0.25">
      <c r="G773" s="175"/>
      <c r="H773" s="175"/>
    </row>
    <row r="774" spans="7:8" ht="15.75" customHeight="1" x14ac:dyDescent="0.25">
      <c r="G774" s="175"/>
      <c r="H774" s="175"/>
    </row>
    <row r="775" spans="7:8" ht="15.75" customHeight="1" x14ac:dyDescent="0.25">
      <c r="G775" s="175"/>
      <c r="H775" s="175"/>
    </row>
    <row r="776" spans="7:8" ht="15.75" customHeight="1" x14ac:dyDescent="0.25">
      <c r="G776" s="175"/>
      <c r="H776" s="175"/>
    </row>
    <row r="777" spans="7:8" ht="15.75" customHeight="1" x14ac:dyDescent="0.25">
      <c r="G777" s="175"/>
      <c r="H777" s="175"/>
    </row>
    <row r="778" spans="7:8" ht="15.75" customHeight="1" x14ac:dyDescent="0.25">
      <c r="G778" s="175"/>
      <c r="H778" s="175"/>
    </row>
    <row r="779" spans="7:8" ht="15.75" customHeight="1" x14ac:dyDescent="0.25">
      <c r="G779" s="175"/>
      <c r="H779" s="175"/>
    </row>
    <row r="780" spans="7:8" ht="15.75" customHeight="1" x14ac:dyDescent="0.25">
      <c r="G780" s="175"/>
      <c r="H780" s="175"/>
    </row>
    <row r="781" spans="7:8" ht="15.75" customHeight="1" x14ac:dyDescent="0.25">
      <c r="G781" s="175"/>
      <c r="H781" s="175"/>
    </row>
    <row r="782" spans="7:8" ht="15.75" customHeight="1" x14ac:dyDescent="0.25">
      <c r="G782" s="175"/>
      <c r="H782" s="175"/>
    </row>
    <row r="783" spans="7:8" ht="15.75" customHeight="1" x14ac:dyDescent="0.25">
      <c r="G783" s="175"/>
      <c r="H783" s="175"/>
    </row>
    <row r="784" spans="7:8" ht="15.75" customHeight="1" x14ac:dyDescent="0.25">
      <c r="G784" s="175"/>
      <c r="H784" s="175"/>
    </row>
    <row r="785" spans="7:8" ht="15.75" customHeight="1" x14ac:dyDescent="0.25">
      <c r="G785" s="175"/>
      <c r="H785" s="175"/>
    </row>
    <row r="786" spans="7:8" ht="15.75" customHeight="1" x14ac:dyDescent="0.25">
      <c r="G786" s="175"/>
      <c r="H786" s="175"/>
    </row>
    <row r="787" spans="7:8" ht="15.75" customHeight="1" x14ac:dyDescent="0.25">
      <c r="G787" s="175"/>
      <c r="H787" s="175"/>
    </row>
    <row r="788" spans="7:8" ht="15.75" customHeight="1" x14ac:dyDescent="0.25">
      <c r="G788" s="175"/>
      <c r="H788" s="175"/>
    </row>
    <row r="789" spans="7:8" ht="15.75" customHeight="1" x14ac:dyDescent="0.25">
      <c r="G789" s="175"/>
      <c r="H789" s="175"/>
    </row>
    <row r="790" spans="7:8" ht="15.75" customHeight="1" x14ac:dyDescent="0.25">
      <c r="G790" s="175"/>
      <c r="H790" s="175"/>
    </row>
    <row r="791" spans="7:8" ht="15.75" customHeight="1" x14ac:dyDescent="0.25">
      <c r="G791" s="175"/>
      <c r="H791" s="175"/>
    </row>
    <row r="792" spans="7:8" ht="15.75" customHeight="1" x14ac:dyDescent="0.25">
      <c r="G792" s="175"/>
      <c r="H792" s="175"/>
    </row>
    <row r="793" spans="7:8" ht="15.75" customHeight="1" x14ac:dyDescent="0.25">
      <c r="G793" s="175"/>
      <c r="H793" s="175"/>
    </row>
    <row r="794" spans="7:8" ht="15.75" customHeight="1" x14ac:dyDescent="0.25">
      <c r="G794" s="175"/>
      <c r="H794" s="175"/>
    </row>
    <row r="795" spans="7:8" ht="15.75" customHeight="1" x14ac:dyDescent="0.25">
      <c r="G795" s="175"/>
      <c r="H795" s="175"/>
    </row>
    <row r="796" spans="7:8" ht="15.75" customHeight="1" x14ac:dyDescent="0.25">
      <c r="G796" s="175"/>
      <c r="H796" s="175"/>
    </row>
    <row r="797" spans="7:8" ht="15.75" customHeight="1" x14ac:dyDescent="0.25">
      <c r="G797" s="175"/>
      <c r="H797" s="175"/>
    </row>
    <row r="798" spans="7:8" ht="15.75" customHeight="1" x14ac:dyDescent="0.25">
      <c r="G798" s="175"/>
      <c r="H798" s="175"/>
    </row>
    <row r="799" spans="7:8" ht="15.75" customHeight="1" x14ac:dyDescent="0.25">
      <c r="G799" s="175"/>
      <c r="H799" s="175"/>
    </row>
    <row r="800" spans="7:8" ht="15.75" customHeight="1" x14ac:dyDescent="0.25">
      <c r="G800" s="175"/>
      <c r="H800" s="175"/>
    </row>
    <row r="801" spans="7:8" ht="15.75" customHeight="1" x14ac:dyDescent="0.25">
      <c r="G801" s="175"/>
      <c r="H801" s="175"/>
    </row>
    <row r="802" spans="7:8" ht="15.75" customHeight="1" x14ac:dyDescent="0.25">
      <c r="G802" s="175"/>
      <c r="H802" s="175"/>
    </row>
    <row r="803" spans="7:8" ht="15.75" customHeight="1" x14ac:dyDescent="0.25">
      <c r="G803" s="175"/>
      <c r="H803" s="175"/>
    </row>
    <row r="804" spans="7:8" ht="15.75" customHeight="1" x14ac:dyDescent="0.25">
      <c r="G804" s="175"/>
      <c r="H804" s="175"/>
    </row>
    <row r="805" spans="7:8" ht="15.75" customHeight="1" x14ac:dyDescent="0.25">
      <c r="G805" s="175"/>
      <c r="H805" s="175"/>
    </row>
    <row r="806" spans="7:8" ht="15.75" customHeight="1" x14ac:dyDescent="0.25">
      <c r="G806" s="175"/>
      <c r="H806" s="175"/>
    </row>
    <row r="807" spans="7:8" ht="15.75" customHeight="1" x14ac:dyDescent="0.25">
      <c r="G807" s="175"/>
      <c r="H807" s="175"/>
    </row>
    <row r="808" spans="7:8" ht="15.75" customHeight="1" x14ac:dyDescent="0.25">
      <c r="G808" s="175"/>
      <c r="H808" s="175"/>
    </row>
    <row r="809" spans="7:8" ht="15.75" customHeight="1" x14ac:dyDescent="0.25">
      <c r="G809" s="175"/>
      <c r="H809" s="175"/>
    </row>
    <row r="810" spans="7:8" ht="15.75" customHeight="1" x14ac:dyDescent="0.25">
      <c r="G810" s="175"/>
      <c r="H810" s="175"/>
    </row>
    <row r="811" spans="7:8" ht="15.75" customHeight="1" x14ac:dyDescent="0.25">
      <c r="G811" s="175"/>
      <c r="H811" s="175"/>
    </row>
    <row r="812" spans="7:8" ht="15.75" customHeight="1" x14ac:dyDescent="0.25">
      <c r="G812" s="175"/>
      <c r="H812" s="175"/>
    </row>
    <row r="813" spans="7:8" ht="15.75" customHeight="1" x14ac:dyDescent="0.25">
      <c r="G813" s="175"/>
      <c r="H813" s="175"/>
    </row>
    <row r="814" spans="7:8" ht="15.75" customHeight="1" x14ac:dyDescent="0.25">
      <c r="G814" s="175"/>
      <c r="H814" s="175"/>
    </row>
    <row r="815" spans="7:8" ht="15.75" customHeight="1" x14ac:dyDescent="0.25">
      <c r="G815" s="175"/>
      <c r="H815" s="175"/>
    </row>
    <row r="816" spans="7:8" ht="15.75" customHeight="1" x14ac:dyDescent="0.25">
      <c r="G816" s="175"/>
      <c r="H816" s="175"/>
    </row>
    <row r="817" spans="7:8" ht="15.75" customHeight="1" x14ac:dyDescent="0.25">
      <c r="G817" s="175"/>
      <c r="H817" s="175"/>
    </row>
    <row r="818" spans="7:8" ht="15.75" customHeight="1" x14ac:dyDescent="0.25">
      <c r="G818" s="175"/>
      <c r="H818" s="175"/>
    </row>
    <row r="819" spans="7:8" ht="15.75" customHeight="1" x14ac:dyDescent="0.25">
      <c r="G819" s="175"/>
      <c r="H819" s="175"/>
    </row>
    <row r="820" spans="7:8" ht="15.75" customHeight="1" x14ac:dyDescent="0.25">
      <c r="G820" s="175"/>
      <c r="H820" s="175"/>
    </row>
    <row r="821" spans="7:8" ht="15.75" customHeight="1" x14ac:dyDescent="0.25">
      <c r="G821" s="175"/>
      <c r="H821" s="175"/>
    </row>
    <row r="822" spans="7:8" ht="15.75" customHeight="1" x14ac:dyDescent="0.25">
      <c r="G822" s="175"/>
      <c r="H822" s="175"/>
    </row>
    <row r="823" spans="7:8" ht="15.75" customHeight="1" x14ac:dyDescent="0.25">
      <c r="G823" s="175"/>
      <c r="H823" s="175"/>
    </row>
    <row r="824" spans="7:8" ht="15.75" customHeight="1" x14ac:dyDescent="0.25">
      <c r="G824" s="175"/>
      <c r="H824" s="175"/>
    </row>
    <row r="825" spans="7:8" ht="15.75" customHeight="1" x14ac:dyDescent="0.25">
      <c r="G825" s="175"/>
      <c r="H825" s="175"/>
    </row>
    <row r="826" spans="7:8" ht="15.75" customHeight="1" x14ac:dyDescent="0.25">
      <c r="G826" s="175"/>
      <c r="H826" s="175"/>
    </row>
    <row r="827" spans="7:8" ht="15.75" customHeight="1" x14ac:dyDescent="0.25">
      <c r="G827" s="175"/>
      <c r="H827" s="175"/>
    </row>
    <row r="828" spans="7:8" ht="15.75" customHeight="1" x14ac:dyDescent="0.25">
      <c r="G828" s="175"/>
      <c r="H828" s="175"/>
    </row>
    <row r="829" spans="7:8" ht="15.75" customHeight="1" x14ac:dyDescent="0.25">
      <c r="G829" s="175"/>
      <c r="H829" s="175"/>
    </row>
    <row r="830" spans="7:8" ht="15.75" customHeight="1" x14ac:dyDescent="0.25">
      <c r="G830" s="175"/>
      <c r="H830" s="175"/>
    </row>
    <row r="831" spans="7:8" ht="15.75" customHeight="1" x14ac:dyDescent="0.25">
      <c r="G831" s="175"/>
      <c r="H831" s="175"/>
    </row>
    <row r="832" spans="7:8" ht="15.75" customHeight="1" x14ac:dyDescent="0.25">
      <c r="G832" s="175"/>
      <c r="H832" s="175"/>
    </row>
    <row r="833" spans="7:8" ht="15.75" customHeight="1" x14ac:dyDescent="0.25">
      <c r="G833" s="175"/>
      <c r="H833" s="175"/>
    </row>
    <row r="834" spans="7:8" ht="15.75" customHeight="1" x14ac:dyDescent="0.25">
      <c r="G834" s="175"/>
      <c r="H834" s="175"/>
    </row>
    <row r="835" spans="7:8" ht="15.75" customHeight="1" x14ac:dyDescent="0.25">
      <c r="G835" s="175"/>
      <c r="H835" s="175"/>
    </row>
    <row r="836" spans="7:8" ht="15.75" customHeight="1" x14ac:dyDescent="0.25">
      <c r="G836" s="175"/>
      <c r="H836" s="175"/>
    </row>
    <row r="837" spans="7:8" ht="15.75" customHeight="1" x14ac:dyDescent="0.25">
      <c r="G837" s="175"/>
      <c r="H837" s="175"/>
    </row>
    <row r="838" spans="7:8" ht="15.75" customHeight="1" x14ac:dyDescent="0.25">
      <c r="G838" s="175"/>
      <c r="H838" s="175"/>
    </row>
    <row r="839" spans="7:8" ht="15.75" customHeight="1" x14ac:dyDescent="0.25">
      <c r="G839" s="175"/>
      <c r="H839" s="175"/>
    </row>
    <row r="840" spans="7:8" ht="15.75" customHeight="1" x14ac:dyDescent="0.25">
      <c r="G840" s="175"/>
      <c r="H840" s="175"/>
    </row>
    <row r="841" spans="7:8" ht="15.75" customHeight="1" x14ac:dyDescent="0.25">
      <c r="G841" s="175"/>
      <c r="H841" s="175"/>
    </row>
    <row r="842" spans="7:8" ht="15.75" customHeight="1" x14ac:dyDescent="0.25">
      <c r="G842" s="175"/>
      <c r="H842" s="175"/>
    </row>
    <row r="843" spans="7:8" ht="15.75" customHeight="1" x14ac:dyDescent="0.25">
      <c r="G843" s="175"/>
      <c r="H843" s="175"/>
    </row>
    <row r="844" spans="7:8" ht="15.75" customHeight="1" x14ac:dyDescent="0.25">
      <c r="G844" s="175"/>
      <c r="H844" s="175"/>
    </row>
    <row r="845" spans="7:8" ht="15.75" customHeight="1" x14ac:dyDescent="0.25">
      <c r="G845" s="175"/>
      <c r="H845" s="175"/>
    </row>
    <row r="846" spans="7:8" ht="15.75" customHeight="1" x14ac:dyDescent="0.25">
      <c r="G846" s="175"/>
      <c r="H846" s="175"/>
    </row>
    <row r="847" spans="7:8" ht="15.75" customHeight="1" x14ac:dyDescent="0.25">
      <c r="G847" s="175"/>
      <c r="H847" s="175"/>
    </row>
    <row r="848" spans="7:8" ht="15.75" customHeight="1" x14ac:dyDescent="0.25">
      <c r="G848" s="175"/>
      <c r="H848" s="175"/>
    </row>
    <row r="849" spans="7:8" ht="15.75" customHeight="1" x14ac:dyDescent="0.25">
      <c r="G849" s="175"/>
      <c r="H849" s="175"/>
    </row>
    <row r="850" spans="7:8" ht="15.75" customHeight="1" x14ac:dyDescent="0.25">
      <c r="G850" s="175"/>
      <c r="H850" s="175"/>
    </row>
    <row r="851" spans="7:8" ht="15.75" customHeight="1" x14ac:dyDescent="0.25">
      <c r="G851" s="175"/>
      <c r="H851" s="175"/>
    </row>
    <row r="852" spans="7:8" ht="15.75" customHeight="1" x14ac:dyDescent="0.25">
      <c r="G852" s="175"/>
      <c r="H852" s="175"/>
    </row>
    <row r="853" spans="7:8" ht="15.75" customHeight="1" x14ac:dyDescent="0.25">
      <c r="G853" s="175"/>
      <c r="H853" s="175"/>
    </row>
    <row r="854" spans="7:8" ht="15.75" customHeight="1" x14ac:dyDescent="0.25">
      <c r="G854" s="175"/>
      <c r="H854" s="175"/>
    </row>
    <row r="855" spans="7:8" ht="15.75" customHeight="1" x14ac:dyDescent="0.25">
      <c r="G855" s="175"/>
      <c r="H855" s="175"/>
    </row>
    <row r="856" spans="7:8" ht="15.75" customHeight="1" x14ac:dyDescent="0.25">
      <c r="G856" s="175"/>
      <c r="H856" s="175"/>
    </row>
    <row r="857" spans="7:8" ht="15.75" customHeight="1" x14ac:dyDescent="0.25">
      <c r="G857" s="175"/>
      <c r="H857" s="175"/>
    </row>
    <row r="858" spans="7:8" ht="15.75" customHeight="1" x14ac:dyDescent="0.25">
      <c r="G858" s="175"/>
      <c r="H858" s="175"/>
    </row>
    <row r="859" spans="7:8" ht="15.75" customHeight="1" x14ac:dyDescent="0.25">
      <c r="G859" s="175"/>
      <c r="H859" s="175"/>
    </row>
    <row r="860" spans="7:8" ht="15.75" customHeight="1" x14ac:dyDescent="0.25">
      <c r="G860" s="175"/>
      <c r="H860" s="175"/>
    </row>
    <row r="861" spans="7:8" ht="15.75" customHeight="1" x14ac:dyDescent="0.25">
      <c r="G861" s="175"/>
      <c r="H861" s="175"/>
    </row>
    <row r="862" spans="7:8" ht="15.75" customHeight="1" x14ac:dyDescent="0.25">
      <c r="G862" s="175"/>
      <c r="H862" s="175"/>
    </row>
    <row r="863" spans="7:8" ht="15.75" customHeight="1" x14ac:dyDescent="0.25">
      <c r="G863" s="175"/>
      <c r="H863" s="175"/>
    </row>
    <row r="864" spans="7:8" ht="15.75" customHeight="1" x14ac:dyDescent="0.25">
      <c r="G864" s="175"/>
      <c r="H864" s="175"/>
    </row>
    <row r="865" spans="7:8" ht="15.75" customHeight="1" x14ac:dyDescent="0.25">
      <c r="G865" s="175"/>
      <c r="H865" s="175"/>
    </row>
    <row r="866" spans="7:8" ht="15.75" customHeight="1" x14ac:dyDescent="0.25">
      <c r="G866" s="175"/>
      <c r="H866" s="175"/>
    </row>
    <row r="867" spans="7:8" ht="15.75" customHeight="1" x14ac:dyDescent="0.25">
      <c r="G867" s="175"/>
      <c r="H867" s="175"/>
    </row>
    <row r="868" spans="7:8" ht="15.75" customHeight="1" x14ac:dyDescent="0.25">
      <c r="G868" s="175"/>
      <c r="H868" s="175"/>
    </row>
    <row r="869" spans="7:8" ht="15.75" customHeight="1" x14ac:dyDescent="0.25">
      <c r="G869" s="175"/>
      <c r="H869" s="175"/>
    </row>
    <row r="870" spans="7:8" ht="15.75" customHeight="1" x14ac:dyDescent="0.25">
      <c r="G870" s="175"/>
      <c r="H870" s="175"/>
    </row>
    <row r="871" spans="7:8" ht="15.75" customHeight="1" x14ac:dyDescent="0.25">
      <c r="G871" s="175"/>
      <c r="H871" s="175"/>
    </row>
    <row r="872" spans="7:8" ht="15.75" customHeight="1" x14ac:dyDescent="0.25">
      <c r="G872" s="175"/>
      <c r="H872" s="175"/>
    </row>
    <row r="873" spans="7:8" ht="15.75" customHeight="1" x14ac:dyDescent="0.25">
      <c r="G873" s="175"/>
      <c r="H873" s="175"/>
    </row>
    <row r="874" spans="7:8" ht="15.75" customHeight="1" x14ac:dyDescent="0.25">
      <c r="G874" s="175"/>
      <c r="H874" s="175"/>
    </row>
    <row r="875" spans="7:8" ht="15.75" customHeight="1" x14ac:dyDescent="0.25">
      <c r="G875" s="175"/>
      <c r="H875" s="175"/>
    </row>
    <row r="876" spans="7:8" ht="15.75" customHeight="1" x14ac:dyDescent="0.25">
      <c r="G876" s="175"/>
      <c r="H876" s="175"/>
    </row>
    <row r="877" spans="7:8" ht="15.75" customHeight="1" x14ac:dyDescent="0.25">
      <c r="G877" s="175"/>
      <c r="H877" s="175"/>
    </row>
    <row r="878" spans="7:8" ht="15.75" customHeight="1" x14ac:dyDescent="0.25">
      <c r="G878" s="175"/>
      <c r="H878" s="175"/>
    </row>
    <row r="879" spans="7:8" ht="15.75" customHeight="1" x14ac:dyDescent="0.25">
      <c r="G879" s="175"/>
      <c r="H879" s="175"/>
    </row>
    <row r="880" spans="7:8" ht="15.75" customHeight="1" x14ac:dyDescent="0.25">
      <c r="G880" s="175"/>
      <c r="H880" s="175"/>
    </row>
    <row r="881" spans="7:8" ht="15.75" customHeight="1" x14ac:dyDescent="0.25">
      <c r="G881" s="175"/>
      <c r="H881" s="175"/>
    </row>
    <row r="882" spans="7:8" ht="15.75" customHeight="1" x14ac:dyDescent="0.25">
      <c r="G882" s="175"/>
      <c r="H882" s="175"/>
    </row>
    <row r="883" spans="7:8" ht="15.75" customHeight="1" x14ac:dyDescent="0.25">
      <c r="G883" s="175"/>
      <c r="H883" s="175"/>
    </row>
    <row r="884" spans="7:8" ht="15.75" customHeight="1" x14ac:dyDescent="0.25">
      <c r="G884" s="175"/>
      <c r="H884" s="175"/>
    </row>
    <row r="885" spans="7:8" ht="15.75" customHeight="1" x14ac:dyDescent="0.25">
      <c r="G885" s="175"/>
      <c r="H885" s="175"/>
    </row>
    <row r="886" spans="7:8" ht="15.75" customHeight="1" x14ac:dyDescent="0.25">
      <c r="G886" s="175"/>
      <c r="H886" s="175"/>
    </row>
    <row r="887" spans="7:8" ht="15.75" customHeight="1" x14ac:dyDescent="0.25">
      <c r="G887" s="175"/>
      <c r="H887" s="175"/>
    </row>
    <row r="888" spans="7:8" ht="15.75" customHeight="1" x14ac:dyDescent="0.25">
      <c r="G888" s="175"/>
      <c r="H888" s="175"/>
    </row>
    <row r="889" spans="7:8" ht="15.75" customHeight="1" x14ac:dyDescent="0.25">
      <c r="G889" s="175"/>
      <c r="H889" s="175"/>
    </row>
    <row r="890" spans="7:8" ht="15.75" customHeight="1" x14ac:dyDescent="0.25">
      <c r="G890" s="175"/>
      <c r="H890" s="175"/>
    </row>
    <row r="891" spans="7:8" ht="15.75" customHeight="1" x14ac:dyDescent="0.25">
      <c r="G891" s="175"/>
      <c r="H891" s="175"/>
    </row>
    <row r="892" spans="7:8" ht="15.75" customHeight="1" x14ac:dyDescent="0.25">
      <c r="G892" s="175"/>
      <c r="H892" s="175"/>
    </row>
    <row r="893" spans="7:8" ht="15.75" customHeight="1" x14ac:dyDescent="0.25">
      <c r="G893" s="175"/>
      <c r="H893" s="175"/>
    </row>
    <row r="894" spans="7:8" ht="15.75" customHeight="1" x14ac:dyDescent="0.25">
      <c r="G894" s="175"/>
      <c r="H894" s="175"/>
    </row>
    <row r="895" spans="7:8" ht="15.75" customHeight="1" x14ac:dyDescent="0.25">
      <c r="G895" s="175"/>
      <c r="H895" s="175"/>
    </row>
    <row r="896" spans="7:8" ht="15.75" customHeight="1" x14ac:dyDescent="0.25">
      <c r="G896" s="175"/>
      <c r="H896" s="175"/>
    </row>
    <row r="897" spans="7:8" ht="15.75" customHeight="1" x14ac:dyDescent="0.25">
      <c r="G897" s="175"/>
      <c r="H897" s="175"/>
    </row>
    <row r="898" spans="7:8" ht="15.75" customHeight="1" x14ac:dyDescent="0.25">
      <c r="G898" s="175"/>
      <c r="H898" s="175"/>
    </row>
    <row r="899" spans="7:8" ht="15.75" customHeight="1" x14ac:dyDescent="0.25">
      <c r="G899" s="175"/>
      <c r="H899" s="175"/>
    </row>
    <row r="900" spans="7:8" ht="15.75" customHeight="1" x14ac:dyDescent="0.25">
      <c r="G900" s="175"/>
      <c r="H900" s="175"/>
    </row>
    <row r="901" spans="7:8" ht="15.75" customHeight="1" x14ac:dyDescent="0.25">
      <c r="G901" s="175"/>
      <c r="H901" s="175"/>
    </row>
    <row r="902" spans="7:8" ht="15.75" customHeight="1" x14ac:dyDescent="0.25">
      <c r="G902" s="175"/>
      <c r="H902" s="175"/>
    </row>
    <row r="903" spans="7:8" ht="15.75" customHeight="1" x14ac:dyDescent="0.25">
      <c r="G903" s="175"/>
      <c r="H903" s="175"/>
    </row>
    <row r="904" spans="7:8" ht="15.75" customHeight="1" x14ac:dyDescent="0.25">
      <c r="G904" s="175"/>
      <c r="H904" s="175"/>
    </row>
    <row r="905" spans="7:8" ht="15.75" customHeight="1" x14ac:dyDescent="0.25">
      <c r="G905" s="175"/>
      <c r="H905" s="175"/>
    </row>
    <row r="906" spans="7:8" ht="15.75" customHeight="1" x14ac:dyDescent="0.25">
      <c r="G906" s="175"/>
      <c r="H906" s="175"/>
    </row>
    <row r="907" spans="7:8" ht="15.75" customHeight="1" x14ac:dyDescent="0.25">
      <c r="G907" s="175"/>
      <c r="H907" s="175"/>
    </row>
    <row r="908" spans="7:8" ht="15.75" customHeight="1" x14ac:dyDescent="0.25">
      <c r="G908" s="175"/>
      <c r="H908" s="175"/>
    </row>
    <row r="909" spans="7:8" ht="15.75" customHeight="1" x14ac:dyDescent="0.25">
      <c r="G909" s="175"/>
      <c r="H909" s="175"/>
    </row>
    <row r="910" spans="7:8" ht="15.75" customHeight="1" x14ac:dyDescent="0.25">
      <c r="G910" s="175"/>
      <c r="H910" s="175"/>
    </row>
    <row r="911" spans="7:8" ht="15.75" customHeight="1" x14ac:dyDescent="0.25">
      <c r="G911" s="175"/>
      <c r="H911" s="175"/>
    </row>
    <row r="912" spans="7:8" ht="15.75" customHeight="1" x14ac:dyDescent="0.25">
      <c r="G912" s="175"/>
      <c r="H912" s="175"/>
    </row>
    <row r="913" spans="7:8" ht="15.75" customHeight="1" x14ac:dyDescent="0.25">
      <c r="G913" s="175"/>
      <c r="H913" s="175"/>
    </row>
    <row r="914" spans="7:8" ht="15.75" customHeight="1" x14ac:dyDescent="0.25">
      <c r="G914" s="175"/>
      <c r="H914" s="175"/>
    </row>
    <row r="915" spans="7:8" ht="15.75" customHeight="1" x14ac:dyDescent="0.25">
      <c r="G915" s="175"/>
      <c r="H915" s="175"/>
    </row>
    <row r="916" spans="7:8" ht="15.75" customHeight="1" x14ac:dyDescent="0.25">
      <c r="G916" s="175"/>
      <c r="H916" s="175"/>
    </row>
    <row r="917" spans="7:8" ht="15.75" customHeight="1" x14ac:dyDescent="0.25">
      <c r="G917" s="175"/>
      <c r="H917" s="175"/>
    </row>
    <row r="918" spans="7:8" ht="15.75" customHeight="1" x14ac:dyDescent="0.25">
      <c r="G918" s="175"/>
      <c r="H918" s="175"/>
    </row>
    <row r="919" spans="7:8" ht="15.75" customHeight="1" x14ac:dyDescent="0.25">
      <c r="G919" s="175"/>
      <c r="H919" s="175"/>
    </row>
    <row r="920" spans="7:8" ht="15.75" customHeight="1" x14ac:dyDescent="0.25">
      <c r="G920" s="175"/>
      <c r="H920" s="175"/>
    </row>
    <row r="921" spans="7:8" ht="15.75" customHeight="1" x14ac:dyDescent="0.25">
      <c r="G921" s="175"/>
      <c r="H921" s="175"/>
    </row>
    <row r="922" spans="7:8" ht="15.75" customHeight="1" x14ac:dyDescent="0.25">
      <c r="G922" s="175"/>
      <c r="H922" s="175"/>
    </row>
    <row r="923" spans="7:8" ht="15.75" customHeight="1" x14ac:dyDescent="0.25">
      <c r="G923" s="175"/>
      <c r="H923" s="175"/>
    </row>
    <row r="924" spans="7:8" ht="15.75" customHeight="1" x14ac:dyDescent="0.25">
      <c r="G924" s="175"/>
      <c r="H924" s="175"/>
    </row>
    <row r="925" spans="7:8" ht="15.75" customHeight="1" x14ac:dyDescent="0.25">
      <c r="G925" s="175"/>
      <c r="H925" s="175"/>
    </row>
    <row r="926" spans="7:8" ht="15.75" customHeight="1" x14ac:dyDescent="0.25">
      <c r="G926" s="175"/>
      <c r="H926" s="175"/>
    </row>
    <row r="927" spans="7:8" ht="15.75" customHeight="1" x14ac:dyDescent="0.25">
      <c r="G927" s="175"/>
      <c r="H927" s="175"/>
    </row>
    <row r="928" spans="7:8" ht="15.75" customHeight="1" x14ac:dyDescent="0.25">
      <c r="G928" s="175"/>
      <c r="H928" s="175"/>
    </row>
    <row r="929" spans="7:8" ht="15.75" customHeight="1" x14ac:dyDescent="0.25">
      <c r="G929" s="175"/>
      <c r="H929" s="175"/>
    </row>
    <row r="930" spans="7:8" ht="15.75" customHeight="1" x14ac:dyDescent="0.25">
      <c r="G930" s="175"/>
      <c r="H930" s="175"/>
    </row>
    <row r="931" spans="7:8" ht="15.75" customHeight="1" x14ac:dyDescent="0.25">
      <c r="G931" s="175"/>
      <c r="H931" s="175"/>
    </row>
    <row r="932" spans="7:8" ht="15.75" customHeight="1" x14ac:dyDescent="0.25">
      <c r="G932" s="175"/>
      <c r="H932" s="175"/>
    </row>
    <row r="933" spans="7:8" ht="15.75" customHeight="1" x14ac:dyDescent="0.25">
      <c r="G933" s="175"/>
      <c r="H933" s="175"/>
    </row>
    <row r="934" spans="7:8" ht="15.75" customHeight="1" x14ac:dyDescent="0.25">
      <c r="G934" s="175"/>
      <c r="H934" s="175"/>
    </row>
    <row r="935" spans="7:8" ht="15.75" customHeight="1" x14ac:dyDescent="0.25">
      <c r="G935" s="175"/>
      <c r="H935" s="175"/>
    </row>
    <row r="936" spans="7:8" ht="15.75" customHeight="1" x14ac:dyDescent="0.25">
      <c r="G936" s="175"/>
      <c r="H936" s="175"/>
    </row>
    <row r="937" spans="7:8" ht="15.75" customHeight="1" x14ac:dyDescent="0.25">
      <c r="G937" s="175"/>
      <c r="H937" s="175"/>
    </row>
    <row r="938" spans="7:8" ht="15.75" customHeight="1" x14ac:dyDescent="0.25">
      <c r="G938" s="175"/>
      <c r="H938" s="175"/>
    </row>
    <row r="939" spans="7:8" ht="15.75" customHeight="1" x14ac:dyDescent="0.25">
      <c r="G939" s="175"/>
      <c r="H939" s="175"/>
    </row>
    <row r="940" spans="7:8" ht="15.75" customHeight="1" x14ac:dyDescent="0.25">
      <c r="G940" s="175"/>
      <c r="H940" s="175"/>
    </row>
    <row r="941" spans="7:8" ht="15.75" customHeight="1" x14ac:dyDescent="0.25">
      <c r="G941" s="175"/>
      <c r="H941" s="175"/>
    </row>
    <row r="942" spans="7:8" ht="15.75" customHeight="1" x14ac:dyDescent="0.25">
      <c r="G942" s="175"/>
      <c r="H942" s="175"/>
    </row>
    <row r="943" spans="7:8" ht="15.75" customHeight="1" x14ac:dyDescent="0.25">
      <c r="G943" s="175"/>
      <c r="H943" s="175"/>
    </row>
    <row r="944" spans="7:8" ht="15.75" customHeight="1" x14ac:dyDescent="0.25">
      <c r="G944" s="175"/>
      <c r="H944" s="175"/>
    </row>
    <row r="945" spans="7:8" ht="15.75" customHeight="1" x14ac:dyDescent="0.25">
      <c r="G945" s="175"/>
      <c r="H945" s="175"/>
    </row>
    <row r="946" spans="7:8" ht="15.75" customHeight="1" x14ac:dyDescent="0.25">
      <c r="G946" s="175"/>
      <c r="H946" s="175"/>
    </row>
    <row r="947" spans="7:8" ht="15.75" customHeight="1" x14ac:dyDescent="0.25">
      <c r="G947" s="175"/>
      <c r="H947" s="175"/>
    </row>
    <row r="948" spans="7:8" ht="15.75" customHeight="1" x14ac:dyDescent="0.25">
      <c r="G948" s="175"/>
      <c r="H948" s="175"/>
    </row>
    <row r="949" spans="7:8" ht="15.75" customHeight="1" x14ac:dyDescent="0.25">
      <c r="G949" s="175"/>
      <c r="H949" s="175"/>
    </row>
    <row r="950" spans="7:8" ht="15.75" customHeight="1" x14ac:dyDescent="0.25">
      <c r="G950" s="175"/>
      <c r="H950" s="175"/>
    </row>
    <row r="951" spans="7:8" ht="15.75" customHeight="1" x14ac:dyDescent="0.25">
      <c r="G951" s="175"/>
      <c r="H951" s="175"/>
    </row>
    <row r="952" spans="7:8" ht="15.75" customHeight="1" x14ac:dyDescent="0.25">
      <c r="G952" s="175"/>
      <c r="H952" s="175"/>
    </row>
    <row r="953" spans="7:8" ht="15.75" customHeight="1" x14ac:dyDescent="0.25">
      <c r="G953" s="175"/>
      <c r="H953" s="175"/>
    </row>
    <row r="954" spans="7:8" ht="15.75" customHeight="1" x14ac:dyDescent="0.25">
      <c r="G954" s="175"/>
      <c r="H954" s="175"/>
    </row>
    <row r="955" spans="7:8" ht="15.75" customHeight="1" x14ac:dyDescent="0.25">
      <c r="G955" s="175"/>
      <c r="H955" s="175"/>
    </row>
    <row r="956" spans="7:8" ht="15.75" customHeight="1" x14ac:dyDescent="0.25">
      <c r="G956" s="175"/>
      <c r="H956" s="175"/>
    </row>
    <row r="957" spans="7:8" ht="15.75" customHeight="1" x14ac:dyDescent="0.25">
      <c r="G957" s="175"/>
      <c r="H957" s="175"/>
    </row>
    <row r="958" spans="7:8" ht="15.75" customHeight="1" x14ac:dyDescent="0.25">
      <c r="G958" s="175"/>
      <c r="H958" s="175"/>
    </row>
    <row r="959" spans="7:8" ht="15.75" customHeight="1" x14ac:dyDescent="0.25">
      <c r="G959" s="175"/>
      <c r="H959" s="175"/>
    </row>
    <row r="960" spans="7:8" ht="15.75" customHeight="1" x14ac:dyDescent="0.25">
      <c r="G960" s="175"/>
      <c r="H960" s="175"/>
    </row>
    <row r="961" spans="7:8" ht="15.75" customHeight="1" x14ac:dyDescent="0.25">
      <c r="G961" s="175"/>
      <c r="H961" s="175"/>
    </row>
    <row r="962" spans="7:8" ht="15.75" customHeight="1" x14ac:dyDescent="0.25">
      <c r="G962" s="175"/>
      <c r="H962" s="175"/>
    </row>
    <row r="963" spans="7:8" ht="15.75" customHeight="1" x14ac:dyDescent="0.25">
      <c r="G963" s="175"/>
      <c r="H963" s="175"/>
    </row>
    <row r="964" spans="7:8" ht="15.75" customHeight="1" x14ac:dyDescent="0.25">
      <c r="G964" s="175"/>
      <c r="H964" s="175"/>
    </row>
    <row r="965" spans="7:8" ht="15.75" customHeight="1" x14ac:dyDescent="0.25">
      <c r="G965" s="175"/>
      <c r="H965" s="175"/>
    </row>
    <row r="966" spans="7:8" ht="15.75" customHeight="1" x14ac:dyDescent="0.25">
      <c r="G966" s="175"/>
      <c r="H966" s="175"/>
    </row>
    <row r="967" spans="7:8" ht="15.75" customHeight="1" x14ac:dyDescent="0.25">
      <c r="G967" s="175"/>
      <c r="H967" s="175"/>
    </row>
    <row r="968" spans="7:8" ht="15.75" customHeight="1" x14ac:dyDescent="0.25">
      <c r="G968" s="175"/>
      <c r="H968" s="175"/>
    </row>
    <row r="969" spans="7:8" ht="15.75" customHeight="1" x14ac:dyDescent="0.25">
      <c r="G969" s="175"/>
      <c r="H969" s="175"/>
    </row>
    <row r="970" spans="7:8" ht="15.75" customHeight="1" x14ac:dyDescent="0.25">
      <c r="G970" s="175"/>
      <c r="H970" s="175"/>
    </row>
    <row r="971" spans="7:8" ht="15.75" customHeight="1" x14ac:dyDescent="0.25">
      <c r="G971" s="175"/>
      <c r="H971" s="175"/>
    </row>
    <row r="972" spans="7:8" ht="15.75" customHeight="1" x14ac:dyDescent="0.25">
      <c r="G972" s="175"/>
      <c r="H972" s="175"/>
    </row>
    <row r="973" spans="7:8" ht="15.75" customHeight="1" x14ac:dyDescent="0.25">
      <c r="G973" s="175"/>
      <c r="H973" s="175"/>
    </row>
    <row r="974" spans="7:8" ht="15.75" customHeight="1" x14ac:dyDescent="0.25">
      <c r="G974" s="175"/>
      <c r="H974" s="175"/>
    </row>
    <row r="975" spans="7:8" ht="15.75" customHeight="1" x14ac:dyDescent="0.25">
      <c r="G975" s="175"/>
      <c r="H975" s="175"/>
    </row>
    <row r="976" spans="7:8" ht="15.75" customHeight="1" x14ac:dyDescent="0.25">
      <c r="G976" s="175"/>
      <c r="H976" s="175"/>
    </row>
    <row r="977" spans="7:8" ht="15.75" customHeight="1" x14ac:dyDescent="0.25">
      <c r="G977" s="175"/>
      <c r="H977" s="175"/>
    </row>
    <row r="978" spans="7:8" ht="15.75" customHeight="1" x14ac:dyDescent="0.25">
      <c r="G978" s="175"/>
      <c r="H978" s="175"/>
    </row>
    <row r="979" spans="7:8" ht="15.75" customHeight="1" x14ac:dyDescent="0.25">
      <c r="G979" s="175"/>
      <c r="H979" s="175"/>
    </row>
    <row r="980" spans="7:8" ht="15.75" customHeight="1" x14ac:dyDescent="0.25">
      <c r="G980" s="175"/>
      <c r="H980" s="175"/>
    </row>
    <row r="981" spans="7:8" ht="15.75" customHeight="1" x14ac:dyDescent="0.25">
      <c r="G981" s="175"/>
      <c r="H981" s="175"/>
    </row>
    <row r="982" spans="7:8" ht="15.75" customHeight="1" x14ac:dyDescent="0.25">
      <c r="G982" s="175"/>
      <c r="H982" s="175"/>
    </row>
    <row r="983" spans="7:8" ht="15.75" customHeight="1" x14ac:dyDescent="0.25">
      <c r="G983" s="175"/>
      <c r="H983" s="175"/>
    </row>
    <row r="984" spans="7:8" ht="15.75" customHeight="1" x14ac:dyDescent="0.25">
      <c r="G984" s="175"/>
      <c r="H984" s="175"/>
    </row>
    <row r="985" spans="7:8" ht="15.75" customHeight="1" x14ac:dyDescent="0.25">
      <c r="G985" s="175"/>
      <c r="H985" s="175"/>
    </row>
    <row r="986" spans="7:8" ht="15.75" customHeight="1" x14ac:dyDescent="0.25">
      <c r="G986" s="175"/>
      <c r="H986" s="175"/>
    </row>
    <row r="987" spans="7:8" ht="15.75" customHeight="1" x14ac:dyDescent="0.25">
      <c r="G987" s="175"/>
      <c r="H987" s="175"/>
    </row>
    <row r="988" spans="7:8" ht="15.75" customHeight="1" x14ac:dyDescent="0.25">
      <c r="G988" s="175"/>
      <c r="H988" s="175"/>
    </row>
    <row r="989" spans="7:8" ht="15.75" customHeight="1" x14ac:dyDescent="0.25">
      <c r="G989" s="175"/>
      <c r="H989" s="175"/>
    </row>
    <row r="990" spans="7:8" ht="15.75" customHeight="1" x14ac:dyDescent="0.25">
      <c r="G990" s="175"/>
      <c r="H990" s="175"/>
    </row>
    <row r="991" spans="7:8" ht="15.75" customHeight="1" x14ac:dyDescent="0.25">
      <c r="G991" s="175"/>
      <c r="H991" s="175"/>
    </row>
    <row r="992" spans="7:8" ht="15.75" customHeight="1" x14ac:dyDescent="0.25">
      <c r="G992" s="175"/>
      <c r="H992" s="175"/>
    </row>
    <row r="993" spans="7:8" ht="15.75" customHeight="1" x14ac:dyDescent="0.25">
      <c r="G993" s="175"/>
      <c r="H993" s="175"/>
    </row>
    <row r="994" spans="7:8" ht="15.75" customHeight="1" x14ac:dyDescent="0.25">
      <c r="G994" s="175"/>
      <c r="H994" s="175"/>
    </row>
    <row r="995" spans="7:8" ht="15.75" customHeight="1" x14ac:dyDescent="0.25">
      <c r="G995" s="175"/>
      <c r="H995" s="175"/>
    </row>
    <row r="996" spans="7:8" ht="15.75" customHeight="1" x14ac:dyDescent="0.25">
      <c r="G996" s="175"/>
      <c r="H996" s="175"/>
    </row>
    <row r="997" spans="7:8" ht="15.75" customHeight="1" x14ac:dyDescent="0.25">
      <c r="G997" s="175"/>
      <c r="H997" s="175"/>
    </row>
    <row r="998" spans="7:8" ht="15.75" customHeight="1" x14ac:dyDescent="0.25">
      <c r="G998" s="175"/>
      <c r="H998" s="175"/>
    </row>
    <row r="999" spans="7:8" ht="15.75" customHeight="1" x14ac:dyDescent="0.25">
      <c r="G999" s="175"/>
      <c r="H999" s="175"/>
    </row>
    <row r="1000" spans="7:8" ht="15.75" customHeight="1" x14ac:dyDescent="0.25">
      <c r="G1000" s="175"/>
      <c r="H1000" s="175"/>
    </row>
  </sheetData>
  <customSheetViews>
    <customSheetView guid="{7B52DE51-F7EB-4CC3-A86A-7AE5C7BCE609}" filter="1" showAutoFilter="1">
      <pageMargins left="0.7" right="0.7" top="0.75" bottom="0.75" header="0.3" footer="0.3"/>
      <autoFilter ref="A1:H28" xr:uid="{DA84E72D-24F5-4C7B-9FCE-756F74C3E66E}"/>
      <extLst>
        <ext uri="GoogleSheetsCustomDataVersion1">
          <go:sheetsCustomData xmlns:go="http://customooxmlschemas.google.com/" filterViewId="866844102"/>
        </ext>
      </extLst>
    </customSheetView>
  </customSheetViews>
  <dataValidations count="3">
    <dataValidation type="list" allowBlank="1" sqref="C2:C28" xr:uid="{00000000-0002-0000-0800-000000000000}">
      <formula1>"Laki-laki,Perempuan"</formula1>
    </dataValidation>
    <dataValidation allowBlank="1" showDropDown="1" sqref="G2:H28" xr:uid="{00000000-0002-0000-0800-000001000000}"/>
    <dataValidation type="custom" allowBlank="1" showDropDown="1" sqref="A2:A28 F2:F28" xr:uid="{00000000-0002-0000-0800-000002000000}"/>
  </dataValidations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4" ht="15.75" customHeight="1" x14ac:dyDescent="0.25">
      <c r="A1" s="8" t="s">
        <v>2155</v>
      </c>
      <c r="B1" s="8" t="s">
        <v>44</v>
      </c>
      <c r="C1" s="8" t="s">
        <v>20</v>
      </c>
      <c r="D1" s="8" t="s">
        <v>2159</v>
      </c>
    </row>
    <row r="2" spans="1:4" ht="15.75" customHeight="1" x14ac:dyDescent="0.25">
      <c r="A2" s="8" t="s">
        <v>2161</v>
      </c>
      <c r="B2" s="8" t="e">
        <f>COUNTIF('7-10 Juli 2026 SUF Bali'!C:C, "Laki-laki") + COUNTIF(#REF!, "Laki-laki") + COUNTIF('19-22 Mei SUF Balikpapan Kaltim'!C:C, "Laki-laki") + COUNTIF('29 Juni -2 Juli  SUF Manado, Su'!C:C, "Laki-laki") + COUNTIF('19-22 Mei SUF Semarang Jateng'!C:C, "Laki-laki")</f>
        <v>#REF!</v>
      </c>
      <c r="C2" s="8" t="e">
        <f>COUNTIF('7-10 Juli 2026 SUF Bali'!C:C, "Perempuan") + COUNTIF(#REF!, "Perempuan") + COUNTIF('19-22 Mei SUF Balikpapan Kaltim'!C:C, "Perempuan") + COUNTIF('29 Juni -2 Juli  SUF Manado, Su'!C:C, "Perempuan") + COUNTIF('19-22 Mei SUF Semarang Jateng'!C:C, "Perempuan")</f>
        <v>#REF!</v>
      </c>
      <c r="D2" s="8" t="e">
        <f t="shared" ref="D2:D3" si="0">SUM(B2:C2)</f>
        <v>#REF!</v>
      </c>
    </row>
    <row r="3" spans="1:4" ht="15.75" customHeight="1" x14ac:dyDescent="0.25">
      <c r="A3" s="8" t="s">
        <v>2189</v>
      </c>
      <c r="B3" s="8" t="e">
        <f>COUNTIF('29-31 Juli 2026 GEMS Rinjani'!C:C, "Laki-laki") + COUNTIF('11-14 Agustus 2026 GEMS Ciletuh'!C:C, "Laki-laki") + COUNTIF(#REF!, "Laki-laki")</f>
        <v>#REF!</v>
      </c>
      <c r="C3" s="8" t="e">
        <f>COUNTIF('29-31 Juli 2026 GEMS Rinjani'!C:C, "Perempuan") + COUNTIF('11-14 Agustus 2026 GEMS Ciletuh'!C:C, "Perempuan") + COUNTIF(#REF!, "Perempuan")</f>
        <v>#REF!</v>
      </c>
      <c r="D3" s="8" t="e">
        <f t="shared" si="0"/>
        <v>#REF!</v>
      </c>
    </row>
    <row r="4" spans="1:4" ht="15.75" customHeight="1" x14ac:dyDescent="0.25"/>
    <row r="5" spans="1:4" ht="15.75" customHeight="1" x14ac:dyDescent="0.25"/>
    <row r="6" spans="1:4" ht="15.75" customHeight="1" x14ac:dyDescent="0.25"/>
    <row r="7" spans="1:4" ht="15.75" customHeight="1" x14ac:dyDescent="0.25"/>
    <row r="8" spans="1:4" ht="15.75" customHeight="1" x14ac:dyDescent="0.25"/>
    <row r="9" spans="1:4" ht="15.75" customHeight="1" x14ac:dyDescent="0.25"/>
    <row r="10" spans="1:4" ht="15.75" customHeight="1" x14ac:dyDescent="0.25"/>
    <row r="11" spans="1:4" ht="15.75" customHeight="1" x14ac:dyDescent="0.25"/>
    <row r="12" spans="1:4" ht="15.75" customHeight="1" x14ac:dyDescent="0.25"/>
    <row r="13" spans="1:4" ht="15.75" customHeight="1" x14ac:dyDescent="0.25"/>
    <row r="14" spans="1:4" ht="15.75" customHeight="1" x14ac:dyDescent="0.25"/>
    <row r="15" spans="1:4" ht="15.75" customHeight="1" x14ac:dyDescent="0.25"/>
    <row r="16" spans="1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19-22 Mei SUF Semarang Jateng</vt:lpstr>
      <vt:lpstr>19-22 Mei SUF Balikpapan Kaltim</vt:lpstr>
      <vt:lpstr>23-26 Juni 2026 Pelatihan Kultu</vt:lpstr>
      <vt:lpstr>23 Juni 2026 Hybrid Webinar Kul</vt:lpstr>
      <vt:lpstr>29 Juni -2 Juli  SUF Manado, Su</vt:lpstr>
      <vt:lpstr>7-10 Juli 2026 SUF Bali</vt:lpstr>
      <vt:lpstr>29-31 Juli 2026 GEMS Rinjani</vt:lpstr>
      <vt:lpstr>11-14 Agustus 2026 GEMS Ciletuh</vt:lpstr>
      <vt:lpstr>22-25 September 2026 GEMS Bali</vt:lpstr>
      <vt:lpstr>Calc_Data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sasty souva</cp:lastModifiedBy>
  <dcterms:modified xsi:type="dcterms:W3CDTF">2026-10-20T03:43:02Z</dcterms:modified>
</cp:coreProperties>
</file>